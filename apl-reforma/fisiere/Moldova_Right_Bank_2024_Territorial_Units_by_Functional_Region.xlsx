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ihae/Documents/Claude/Projects/MD APL2/Regiuni functionale/"/>
    </mc:Choice>
  </mc:AlternateContent>
  <xr:revisionPtr revIDLastSave="0" documentId="8_{C16ED7CD-A511-EB40-9B40-10F7DACE647C}" xr6:coauthVersionLast="47" xr6:coauthVersionMax="47" xr10:uidLastSave="{00000000-0000-0000-0000-000000000000}"/>
  <bookViews>
    <workbookView xWindow="4420" yWindow="920" windowWidth="17060" windowHeight="20320" activeTab="1" xr2:uid="{00000000-000D-0000-FFFF-FFFF00000000}"/>
  </bookViews>
  <sheets>
    <sheet name="Summary" sheetId="1" r:id="rId1"/>
    <sheet name="Chisinau-Centre" sheetId="2" r:id="rId2"/>
    <sheet name="Balti-North" sheetId="3" r:id="rId3"/>
    <sheet name="Ungheni-West" sheetId="4" r:id="rId4"/>
    <sheet name="Soroca-NE" sheetId="5" r:id="rId5"/>
    <sheet name="Orhei-Centre-N" sheetId="6" r:id="rId6"/>
    <sheet name="Cahul-SW" sheetId="7" r:id="rId7"/>
    <sheet name="Comrat-S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 s="1"/>
  <c r="C11" i="1"/>
  <c r="D10" i="1"/>
  <c r="E10" i="1" s="1"/>
  <c r="C10" i="1"/>
  <c r="D9" i="1"/>
  <c r="E9" i="1" s="1"/>
  <c r="C9" i="1"/>
  <c r="D8" i="1"/>
  <c r="E8" i="1" s="1"/>
  <c r="C8" i="1"/>
  <c r="D7" i="1"/>
  <c r="E7" i="1" s="1"/>
  <c r="C7" i="1"/>
  <c r="D6" i="1"/>
  <c r="E6" i="1" s="1"/>
  <c r="C6" i="1"/>
  <c r="D5" i="1"/>
  <c r="D12" i="1" s="1"/>
  <c r="C5" i="1"/>
  <c r="C12" i="1" s="1"/>
  <c r="E5" i="1" l="1"/>
  <c r="E12" i="1" s="1"/>
</calcChain>
</file>

<file path=xl/sharedStrings.xml><?xml version="1.0" encoding="utf-8"?>
<sst xmlns="http://schemas.openxmlformats.org/spreadsheetml/2006/main" count="5515" uniqueCount="1882">
  <si>
    <t>Territorial units by provisional functional economic region</t>
  </si>
  <si>
    <t>Preferred scenario: right-bank / government-administered territory, 2024 population reference</t>
  </si>
  <si>
    <t>Region ID</t>
  </si>
  <si>
    <t>Functional region</t>
  </si>
  <si>
    <t>Base analytical units</t>
  </si>
  <si>
    <t>Population 2024</t>
  </si>
  <si>
    <t>Share of included population</t>
  </si>
  <si>
    <t>RBR01</t>
  </si>
  <si>
    <t>Chișinău–Centre</t>
  </si>
  <si>
    <t>RBR02</t>
  </si>
  <si>
    <t>Bălți–North</t>
  </si>
  <si>
    <t>RBR03</t>
  </si>
  <si>
    <t>Ungheni–West</t>
  </si>
  <si>
    <t>RBR04</t>
  </si>
  <si>
    <t>Soroca–North-East</t>
  </si>
  <si>
    <t>RBR05</t>
  </si>
  <si>
    <t>Orhei–Centre-North</t>
  </si>
  <si>
    <t>RBR06</t>
  </si>
  <si>
    <t>Cahul–South-West</t>
  </si>
  <si>
    <t>RBR07</t>
  </si>
  <si>
    <t>Comrat–South-East</t>
  </si>
  <si>
    <t>Total included</t>
  </si>
  <si>
    <t>Interpretation note</t>
  </si>
  <si>
    <t>These are the base locality/commune polygons used by the model, not a new official administrative classification. Distance is measured along the fastest modelled OSM road route. Rows marked 'Straight-line fallback' have no usable network path within the 300-minute routing search and use straight-line distance instead.</t>
  </si>
  <si>
    <t>Source: right_bank_assignments.csv and local_unit_assignments.csv in the Moldova functional geography GIS package.</t>
  </si>
  <si>
    <t>RBR01 · Chișinău–Centre</t>
  </si>
  <si>
    <t>No.</t>
  </si>
  <si>
    <t>District / municipality</t>
  </si>
  <si>
    <t>Territorial unit</t>
  </si>
  <si>
    <t>CUATM</t>
  </si>
  <si>
    <t>Micro-region ID</t>
  </si>
  <si>
    <t>Micro-region centre</t>
  </si>
  <si>
    <t>Travel time to regional anchor (min)</t>
  </si>
  <si>
    <t>Route distance to regional anchor (km)</t>
  </si>
  <si>
    <t>Route calculation</t>
  </si>
  <si>
    <t>Mun. Chișinău</t>
  </si>
  <si>
    <t>Budeşti</t>
  </si>
  <si>
    <t>143000</t>
  </si>
  <si>
    <t>RBM02</t>
  </si>
  <si>
    <t>Chișinău</t>
  </si>
  <si>
    <t>Fastest OSM road route</t>
  </si>
  <si>
    <t>Coloniţa</t>
  </si>
  <si>
    <t>144000</t>
  </si>
  <si>
    <t>com. Băcioi</t>
  </si>
  <si>
    <t>112000</t>
  </si>
  <si>
    <t>RBM32</t>
  </si>
  <si>
    <t>com. Răzeni</t>
  </si>
  <si>
    <t>com. Bubuieci</t>
  </si>
  <si>
    <t>142000</t>
  </si>
  <si>
    <t>com. Ciorescu</t>
  </si>
  <si>
    <t>152000</t>
  </si>
  <si>
    <t>com. Cruzeşti</t>
  </si>
  <si>
    <t>145000</t>
  </si>
  <si>
    <t>com. Grătieşti</t>
  </si>
  <si>
    <t>153000</t>
  </si>
  <si>
    <t>com. Stăuceni</t>
  </si>
  <si>
    <t>154000</t>
  </si>
  <si>
    <t>com. Tohatin</t>
  </si>
  <si>
    <t>146000</t>
  </si>
  <si>
    <t>com. Truşeni</t>
  </si>
  <si>
    <t>126000</t>
  </si>
  <si>
    <t>Condriţa</t>
  </si>
  <si>
    <t>123000</t>
  </si>
  <si>
    <t>Ghidighici</t>
  </si>
  <si>
    <t>125000</t>
  </si>
  <si>
    <t>or. Chișinău</t>
  </si>
  <si>
    <t>101000</t>
  </si>
  <si>
    <t>or. Codru</t>
  </si>
  <si>
    <t>131000</t>
  </si>
  <si>
    <t>or. Cricova</t>
  </si>
  <si>
    <t>151000</t>
  </si>
  <si>
    <t>or. Durleşti</t>
  </si>
  <si>
    <t>121000</t>
  </si>
  <si>
    <t>or. Sîngera</t>
  </si>
  <si>
    <t>111000</t>
  </si>
  <si>
    <t>or. Vadul lui Vodă</t>
  </si>
  <si>
    <t>141000</t>
  </si>
  <si>
    <t>RBM24</t>
  </si>
  <si>
    <t>or. Criuleni</t>
  </si>
  <si>
    <t>or. Vatra</t>
  </si>
  <si>
    <t>122000</t>
  </si>
  <si>
    <t>Raionul Anenii Noi</t>
  </si>
  <si>
    <t>Bulboaca</t>
  </si>
  <si>
    <t>1011000</t>
  </si>
  <si>
    <t>RBM19</t>
  </si>
  <si>
    <t>or. Anenii Noi</t>
  </si>
  <si>
    <t>Cobusca Nouă</t>
  </si>
  <si>
    <t>1016000</t>
  </si>
  <si>
    <t>com. Botnăreşti</t>
  </si>
  <si>
    <t>1010000</t>
  </si>
  <si>
    <t>com. Calfa</t>
  </si>
  <si>
    <t>1012000</t>
  </si>
  <si>
    <t>com. Chetrosu</t>
  </si>
  <si>
    <t>1013000</t>
  </si>
  <si>
    <t>com. Chirca</t>
  </si>
  <si>
    <t>1014000</t>
  </si>
  <si>
    <t>com. Ciobanovca</t>
  </si>
  <si>
    <t>1015000</t>
  </si>
  <si>
    <t>com. Cobusca Veche</t>
  </si>
  <si>
    <t>1017000</t>
  </si>
  <si>
    <t>com. Geamăna</t>
  </si>
  <si>
    <t>1020000</t>
  </si>
  <si>
    <t>com. Ochiul Roş</t>
  </si>
  <si>
    <t>1026000</t>
  </si>
  <si>
    <t>com. Teliţa</t>
  </si>
  <si>
    <t>1031000</t>
  </si>
  <si>
    <t>com. Ţînţăreni</t>
  </si>
  <si>
    <t>1032000</t>
  </si>
  <si>
    <t>com. Zolotievca</t>
  </si>
  <si>
    <t>1034000</t>
  </si>
  <si>
    <t>Delacău</t>
  </si>
  <si>
    <t>1018000</t>
  </si>
  <si>
    <t>Floreni</t>
  </si>
  <si>
    <t>1019000</t>
  </si>
  <si>
    <t>Gura Bîcului</t>
  </si>
  <si>
    <t>1021000</t>
  </si>
  <si>
    <t>Hîrbovăţ</t>
  </si>
  <si>
    <t>1022000</t>
  </si>
  <si>
    <t>Maximovca</t>
  </si>
  <si>
    <t>1023000</t>
  </si>
  <si>
    <t>Mereni</t>
  </si>
  <si>
    <t>1024000</t>
  </si>
  <si>
    <t>Merenii Noi</t>
  </si>
  <si>
    <t>1025000</t>
  </si>
  <si>
    <t>1001000</t>
  </si>
  <si>
    <t>Puhăceni</t>
  </si>
  <si>
    <t>1027000</t>
  </si>
  <si>
    <t>Roşcani</t>
  </si>
  <si>
    <t>1028000</t>
  </si>
  <si>
    <t>Speia</t>
  </si>
  <si>
    <t>1029000</t>
  </si>
  <si>
    <t>Şerpeni</t>
  </si>
  <si>
    <t>1030000</t>
  </si>
  <si>
    <t>Țînțăreni</t>
  </si>
  <si>
    <t>Varniţa</t>
  </si>
  <si>
    <t>1033000</t>
  </si>
  <si>
    <t>Raionul Călăraşi</t>
  </si>
  <si>
    <t>Căbăieşti</t>
  </si>
  <si>
    <t>2513000</t>
  </si>
  <si>
    <t>RBM18</t>
  </si>
  <si>
    <t>or. Călăraşi</t>
  </si>
  <si>
    <t>com. Buda</t>
  </si>
  <si>
    <t>2512000</t>
  </si>
  <si>
    <t>com. Tuzara</t>
  </si>
  <si>
    <t>2532000</t>
  </si>
  <si>
    <t>Horodişte</t>
  </si>
  <si>
    <t>2519000</t>
  </si>
  <si>
    <t>Nişcani</t>
  </si>
  <si>
    <t>2521000</t>
  </si>
  <si>
    <t>2501000</t>
  </si>
  <si>
    <t>Păuleşti</t>
  </si>
  <si>
    <t>2523000</t>
  </si>
  <si>
    <t>Peticeni</t>
  </si>
  <si>
    <t>2523100</t>
  </si>
  <si>
    <t>Pituşca</t>
  </si>
  <si>
    <t>2524000</t>
  </si>
  <si>
    <t>Pîrjolteni</t>
  </si>
  <si>
    <t>2525000</t>
  </si>
  <si>
    <t>Sadova</t>
  </si>
  <si>
    <t>2528000</t>
  </si>
  <si>
    <t>Temeleuţi</t>
  </si>
  <si>
    <t>2531000</t>
  </si>
  <si>
    <t>Vălcineţ</t>
  </si>
  <si>
    <t>2535000</t>
  </si>
  <si>
    <t>Vărzăreştii Noi</t>
  </si>
  <si>
    <t>2536000</t>
  </si>
  <si>
    <t>Raionul Căuşeni</t>
  </si>
  <si>
    <t>Chircăieşti</t>
  </si>
  <si>
    <t>2712000</t>
  </si>
  <si>
    <t>RBM09</t>
  </si>
  <si>
    <t>or. Căuşeni</t>
  </si>
  <si>
    <t>Cîrnăţeni</t>
  </si>
  <si>
    <t>2716000</t>
  </si>
  <si>
    <t>com. Baccealia</t>
  </si>
  <si>
    <t>2710000</t>
  </si>
  <si>
    <t>com. Baimaclia</t>
  </si>
  <si>
    <t>2711000</t>
  </si>
  <si>
    <t>com. Chircăieştii Noi</t>
  </si>
  <si>
    <t>2713000</t>
  </si>
  <si>
    <t>com. Cîrnăţenii Noi</t>
  </si>
  <si>
    <t>2717000</t>
  </si>
  <si>
    <t>com. Fîrlădeni</t>
  </si>
  <si>
    <t>2721000</t>
  </si>
  <si>
    <t>com. Grădiniţa</t>
  </si>
  <si>
    <t>2723000</t>
  </si>
  <si>
    <t>com. Pervomaisc</t>
  </si>
  <si>
    <t>2727000</t>
  </si>
  <si>
    <t>com. Tănătarii Noi</t>
  </si>
  <si>
    <t>2733000</t>
  </si>
  <si>
    <t>Copanca</t>
  </si>
  <si>
    <t>2718000</t>
  </si>
  <si>
    <t>Coşcalia</t>
  </si>
  <si>
    <t>2719000</t>
  </si>
  <si>
    <t>Raionul Căușeni</t>
  </si>
  <si>
    <t>Gîsca</t>
  </si>
  <si>
    <t>Grigorievca</t>
  </si>
  <si>
    <t>2724000</t>
  </si>
  <si>
    <t>Hagimus</t>
  </si>
  <si>
    <t>2725000</t>
  </si>
  <si>
    <t>or. Căinari</t>
  </si>
  <si>
    <t>2702000</t>
  </si>
  <si>
    <t>2701000</t>
  </si>
  <si>
    <t>Plop-Ştiubei</t>
  </si>
  <si>
    <t>2728000</t>
  </si>
  <si>
    <t>Săiţi</t>
  </si>
  <si>
    <t>2729000</t>
  </si>
  <si>
    <t>Tănătari</t>
  </si>
  <si>
    <t>2732000</t>
  </si>
  <si>
    <t>Ursoaia</t>
  </si>
  <si>
    <t>2736000</t>
  </si>
  <si>
    <t>Кицканский сельский совет</t>
  </si>
  <si>
    <t>Кременчуг</t>
  </si>
  <si>
    <t>Raionul Cimişlia</t>
  </si>
  <si>
    <t>com. Albina</t>
  </si>
  <si>
    <t>2910000</t>
  </si>
  <si>
    <t>RBM10</t>
  </si>
  <si>
    <t>or. Hînceşti</t>
  </si>
  <si>
    <t>com. Codreni</t>
  </si>
  <si>
    <t>2914000</t>
  </si>
  <si>
    <t>com. Lipoveni</t>
  </si>
  <si>
    <t>2922000</t>
  </si>
  <si>
    <t>com. Porumbrei</t>
  </si>
  <si>
    <t>2924000</t>
  </si>
  <si>
    <t>Gura Galbenei</t>
  </si>
  <si>
    <t>2917000</t>
  </si>
  <si>
    <t>Ivanovca Nouă</t>
  </si>
  <si>
    <t>2920000</t>
  </si>
  <si>
    <t>Raionul Criuleni</t>
  </si>
  <si>
    <t>Cimişeni</t>
  </si>
  <si>
    <t>3113000</t>
  </si>
  <si>
    <t>com. Bălăbăneşti</t>
  </si>
  <si>
    <t>3110000</t>
  </si>
  <si>
    <t>com. Bălţata</t>
  </si>
  <si>
    <t>3111000</t>
  </si>
  <si>
    <t>com. Boşcana</t>
  </si>
  <si>
    <t>3112000</t>
  </si>
  <si>
    <t>com. Dolinnoe</t>
  </si>
  <si>
    <t>3117000</t>
  </si>
  <si>
    <t>com. Drăsliceni</t>
  </si>
  <si>
    <t>3118000</t>
  </si>
  <si>
    <t>com. Hruşova</t>
  </si>
  <si>
    <t>3121000</t>
  </si>
  <si>
    <t>com. Paşcani</t>
  </si>
  <si>
    <t>3129000</t>
  </si>
  <si>
    <t>Corjova</t>
  </si>
  <si>
    <t>3114000</t>
  </si>
  <si>
    <t>Coşerniţa</t>
  </si>
  <si>
    <t>3115000</t>
  </si>
  <si>
    <t>Cruglic</t>
  </si>
  <si>
    <t>3116000</t>
  </si>
  <si>
    <t>Dubăsarii Vechi</t>
  </si>
  <si>
    <t>3119000</t>
  </si>
  <si>
    <t>Măgdăceşti</t>
  </si>
  <si>
    <t>3126000</t>
  </si>
  <si>
    <t>Oniţcani</t>
  </si>
  <si>
    <t>3128000</t>
  </si>
  <si>
    <t>3101000</t>
  </si>
  <si>
    <t>Slobozia-Duşca</t>
  </si>
  <si>
    <t>3131000</t>
  </si>
  <si>
    <t>Zăicana</t>
  </si>
  <si>
    <t>3132000</t>
  </si>
  <si>
    <t>Raionul Dubăsari</t>
  </si>
  <si>
    <t>com. Coşniţa</t>
  </si>
  <si>
    <t>3812000</t>
  </si>
  <si>
    <t>Doroţcaia</t>
  </si>
  <si>
    <t>3813000</t>
  </si>
  <si>
    <t>Pîrîta</t>
  </si>
  <si>
    <t>3819000</t>
  </si>
  <si>
    <t>Ustia</t>
  </si>
  <si>
    <t>3820000</t>
  </si>
  <si>
    <t>Raionul Hînceşti</t>
  </si>
  <si>
    <t>Bălceana</t>
  </si>
  <si>
    <t>5310000</t>
  </si>
  <si>
    <t>Boghiceni</t>
  </si>
  <si>
    <t>5312000</t>
  </si>
  <si>
    <t>Bujor</t>
  </si>
  <si>
    <t>5314000</t>
  </si>
  <si>
    <t>RBM14</t>
  </si>
  <si>
    <t>or. Nisporeni</t>
  </si>
  <si>
    <t>Buţeni</t>
  </si>
  <si>
    <t>5315000</t>
  </si>
  <si>
    <t>Caracui</t>
  </si>
  <si>
    <t>5316000</t>
  </si>
  <si>
    <t>Ciuciuleni</t>
  </si>
  <si>
    <t>5321000</t>
  </si>
  <si>
    <t>com. Bobeica</t>
  </si>
  <si>
    <t>5311000</t>
  </si>
  <si>
    <t>com. Bozieni</t>
  </si>
  <si>
    <t>5313000</t>
  </si>
  <si>
    <t>com. Cărpineni</t>
  </si>
  <si>
    <t>5318000</t>
  </si>
  <si>
    <t>com. Crasnoarmeiscoe</t>
  </si>
  <si>
    <t>5323000</t>
  </si>
  <si>
    <t>Straight-line fallback</t>
  </si>
  <si>
    <t>com. Drăguşenii Noi</t>
  </si>
  <si>
    <t>5325000</t>
  </si>
  <si>
    <t>com. Lăpuşna</t>
  </si>
  <si>
    <t>5329000</t>
  </si>
  <si>
    <t>com. Mereşeni</t>
  </si>
  <si>
    <t>5332000</t>
  </si>
  <si>
    <t>com. Mireşti</t>
  </si>
  <si>
    <t>5334000</t>
  </si>
  <si>
    <t>com. Oneşti</t>
  </si>
  <si>
    <t>5338000</t>
  </si>
  <si>
    <t>5339000</t>
  </si>
  <si>
    <t>com. Sărata- Galbenă</t>
  </si>
  <si>
    <t>5342000</t>
  </si>
  <si>
    <t>com. Secăreni</t>
  </si>
  <si>
    <t>5343000</t>
  </si>
  <si>
    <t>Fîrlădeni</t>
  </si>
  <si>
    <t>5326000</t>
  </si>
  <si>
    <t>Fundul Galbenei</t>
  </si>
  <si>
    <t>5327000</t>
  </si>
  <si>
    <t>Logăneşti</t>
  </si>
  <si>
    <t>5331000</t>
  </si>
  <si>
    <t>Negrea</t>
  </si>
  <si>
    <t>5335000</t>
  </si>
  <si>
    <t>5301000</t>
  </si>
  <si>
    <t>Pervomaiscoe</t>
  </si>
  <si>
    <t>5340000</t>
  </si>
  <si>
    <t>Sofia</t>
  </si>
  <si>
    <t>5344000</t>
  </si>
  <si>
    <t>Stolniceni</t>
  </si>
  <si>
    <t>5345000</t>
  </si>
  <si>
    <t>Şipoteni</t>
  </si>
  <si>
    <t>5346000</t>
  </si>
  <si>
    <t>Raionul Ialoveni</t>
  </si>
  <si>
    <t>Bardar</t>
  </si>
  <si>
    <t>5510000</t>
  </si>
  <si>
    <t>Cărbuna</t>
  </si>
  <si>
    <t>5511000</t>
  </si>
  <si>
    <t>Cigîrleni</t>
  </si>
  <si>
    <t>5512000</t>
  </si>
  <si>
    <t>com. Gangura</t>
  </si>
  <si>
    <t>5514000</t>
  </si>
  <si>
    <t>com. Mileştii Mici</t>
  </si>
  <si>
    <t>5520000</t>
  </si>
  <si>
    <t>5525000</t>
  </si>
  <si>
    <t>com. Ruseştii Noi</t>
  </si>
  <si>
    <t>5526000</t>
  </si>
  <si>
    <t>com. Ţipala</t>
  </si>
  <si>
    <t>5529000</t>
  </si>
  <si>
    <t>com. Zîmbreni</t>
  </si>
  <si>
    <t>5533000</t>
  </si>
  <si>
    <t>Costeşti</t>
  </si>
  <si>
    <t>5513000</t>
  </si>
  <si>
    <t>Dănceni</t>
  </si>
  <si>
    <t>5515000</t>
  </si>
  <si>
    <t>Hansca</t>
  </si>
  <si>
    <t>5516000</t>
  </si>
  <si>
    <t>Horeşti</t>
  </si>
  <si>
    <t>5517000</t>
  </si>
  <si>
    <t>Horodca</t>
  </si>
  <si>
    <t>5518000</t>
  </si>
  <si>
    <t>Malcoci</t>
  </si>
  <si>
    <t>5519000</t>
  </si>
  <si>
    <t>Moleşti</t>
  </si>
  <si>
    <t>5521000</t>
  </si>
  <si>
    <t>Nimoreni</t>
  </si>
  <si>
    <t>5522000</t>
  </si>
  <si>
    <t>or. Ialoveni</t>
  </si>
  <si>
    <t>5501000</t>
  </si>
  <si>
    <t>Pojăreni</t>
  </si>
  <si>
    <t>5523000</t>
  </si>
  <si>
    <t>Puhoi</t>
  </si>
  <si>
    <t>5524000</t>
  </si>
  <si>
    <t>Sociteni</t>
  </si>
  <si>
    <t>5527000</t>
  </si>
  <si>
    <t>Suruceni</t>
  </si>
  <si>
    <t>5528000</t>
  </si>
  <si>
    <t>Ulmu</t>
  </si>
  <si>
    <t>5530000</t>
  </si>
  <si>
    <t>Văratic</t>
  </si>
  <si>
    <t>5531000</t>
  </si>
  <si>
    <t>Văsieni</t>
  </si>
  <si>
    <t>5532000</t>
  </si>
  <si>
    <t>Raionul Leova</t>
  </si>
  <si>
    <t>com. Cneazevca</t>
  </si>
  <si>
    <t>5715000</t>
  </si>
  <si>
    <t>Raionul Nisporeni</t>
  </si>
  <si>
    <t>Bolţun</t>
  </si>
  <si>
    <t>6014000</t>
  </si>
  <si>
    <t>Bursuc</t>
  </si>
  <si>
    <t>6016000</t>
  </si>
  <si>
    <t>com. Cioreşti</t>
  </si>
  <si>
    <t>6018000</t>
  </si>
  <si>
    <t>com. Iurceni</t>
  </si>
  <si>
    <t>6022000</t>
  </si>
  <si>
    <t>Cristeşti</t>
  </si>
  <si>
    <t>6020000</t>
  </si>
  <si>
    <t>Raionul Străşeni</t>
  </si>
  <si>
    <t>Căpriana</t>
  </si>
  <si>
    <t>8010000</t>
  </si>
  <si>
    <t>Cojuşna</t>
  </si>
  <si>
    <t>8013000</t>
  </si>
  <si>
    <t>com. Găleşti</t>
  </si>
  <si>
    <t>8015000</t>
  </si>
  <si>
    <t>com. Ghelăuza</t>
  </si>
  <si>
    <t>8016000</t>
  </si>
  <si>
    <t>com. Lozova</t>
  </si>
  <si>
    <t>8018000</t>
  </si>
  <si>
    <t>com. Micăuţi</t>
  </si>
  <si>
    <t>8019000</t>
  </si>
  <si>
    <t>com. Micleuşeni</t>
  </si>
  <si>
    <t>8020000</t>
  </si>
  <si>
    <t>com. Pănăşeşti</t>
  </si>
  <si>
    <t>8023000</t>
  </si>
  <si>
    <t>Dolna</t>
  </si>
  <si>
    <t>8014000</t>
  </si>
  <si>
    <t>Negreşti</t>
  </si>
  <si>
    <t>8021000</t>
  </si>
  <si>
    <t>or. Bucovăţ</t>
  </si>
  <si>
    <t>8002000</t>
  </si>
  <si>
    <t>or. Străşeni</t>
  </si>
  <si>
    <t>8001000</t>
  </si>
  <si>
    <t>Recea</t>
  </si>
  <si>
    <t>8025000</t>
  </si>
  <si>
    <t>8027000</t>
  </si>
  <si>
    <t>Scoreni</t>
  </si>
  <si>
    <t>8028000</t>
  </si>
  <si>
    <t>Sireţi</t>
  </si>
  <si>
    <t>8029000</t>
  </si>
  <si>
    <t>Tătăreşti</t>
  </si>
  <si>
    <t>8030000</t>
  </si>
  <si>
    <t>Vorniceni</t>
  </si>
  <si>
    <t>8033000</t>
  </si>
  <si>
    <t>Raionul Ştefan Vodă</t>
  </si>
  <si>
    <t>Antoneşti</t>
  </si>
  <si>
    <t>8511000</t>
  </si>
  <si>
    <t>RBM29</t>
  </si>
  <si>
    <t>or. Ştefan Vodă</t>
  </si>
  <si>
    <t>Brezoaia</t>
  </si>
  <si>
    <t>8512000</t>
  </si>
  <si>
    <t>Carahasani</t>
  </si>
  <si>
    <t>8513000</t>
  </si>
  <si>
    <t>Căplani</t>
  </si>
  <si>
    <t>8514000</t>
  </si>
  <si>
    <t>Cioburciu</t>
  </si>
  <si>
    <t>8515000</t>
  </si>
  <si>
    <t>com. Alava</t>
  </si>
  <si>
    <t>8510000</t>
  </si>
  <si>
    <t>com. Purcari</t>
  </si>
  <si>
    <t>8524000</t>
  </si>
  <si>
    <t>com. Răscăieţi</t>
  </si>
  <si>
    <t>8525000</t>
  </si>
  <si>
    <t>Copceac</t>
  </si>
  <si>
    <t>8516000</t>
  </si>
  <si>
    <t>Crocmaz</t>
  </si>
  <si>
    <t>8517000</t>
  </si>
  <si>
    <t>Ermoclia</t>
  </si>
  <si>
    <t>8518000</t>
  </si>
  <si>
    <t>Feşteliţa</t>
  </si>
  <si>
    <t>8519000</t>
  </si>
  <si>
    <t>Marianca de Jos</t>
  </si>
  <si>
    <t>8520000</t>
  </si>
  <si>
    <t>Olăneşti</t>
  </si>
  <si>
    <t>8521000</t>
  </si>
  <si>
    <t>8501000</t>
  </si>
  <si>
    <t>Palanca</t>
  </si>
  <si>
    <t>8522000</t>
  </si>
  <si>
    <t>Popeasca</t>
  </si>
  <si>
    <t>8523000</t>
  </si>
  <si>
    <t>Semionovca</t>
  </si>
  <si>
    <t>8526000</t>
  </si>
  <si>
    <t>Slobozia</t>
  </si>
  <si>
    <t>8527000</t>
  </si>
  <si>
    <t>Ştefăneşti</t>
  </si>
  <si>
    <t>8528000</t>
  </si>
  <si>
    <t>Talmaza</t>
  </si>
  <si>
    <t>8529000</t>
  </si>
  <si>
    <t>Tudora</t>
  </si>
  <si>
    <t>8530000</t>
  </si>
  <si>
    <t>Volintiri</t>
  </si>
  <si>
    <t>8531000</t>
  </si>
  <si>
    <t>RBR02 · Bălți–North</t>
  </si>
  <si>
    <t>Drochia</t>
  </si>
  <si>
    <t>com. Hăsnăşenii Noi</t>
  </si>
  <si>
    <t>3619000</t>
  </si>
  <si>
    <t>RBM01</t>
  </si>
  <si>
    <t>Bălți</t>
  </si>
  <si>
    <t>com. Petreni</t>
  </si>
  <si>
    <t>3629000</t>
  </si>
  <si>
    <t>RBM11</t>
  </si>
  <si>
    <t>or. Drochia</t>
  </si>
  <si>
    <t>com. Pеlinia</t>
  </si>
  <si>
    <t>3627000</t>
  </si>
  <si>
    <t>Dominteni</t>
  </si>
  <si>
    <t>3614000</t>
  </si>
  <si>
    <t>Gribova</t>
  </si>
  <si>
    <t>3616000</t>
  </si>
  <si>
    <t>Hăsnăşenii Mari</t>
  </si>
  <si>
    <t>3618000</t>
  </si>
  <si>
    <t>Miciurin</t>
  </si>
  <si>
    <t>3621000</t>
  </si>
  <si>
    <t>Moara de Piatră</t>
  </si>
  <si>
    <t>3623000</t>
  </si>
  <si>
    <t>Nicoreni</t>
  </si>
  <si>
    <t>3624000</t>
  </si>
  <si>
    <t>RBM27</t>
  </si>
  <si>
    <t>or. Rîşcani</t>
  </si>
  <si>
    <t>Ochiul Alb</t>
  </si>
  <si>
    <t>3625000</t>
  </si>
  <si>
    <t>3632000</t>
  </si>
  <si>
    <t>Mun. Bălți</t>
  </si>
  <si>
    <t>Bălţi</t>
  </si>
  <si>
    <t>301000</t>
  </si>
  <si>
    <t>Elizaveta</t>
  </si>
  <si>
    <t>310000</t>
  </si>
  <si>
    <t>Sadovoe</t>
  </si>
  <si>
    <t>311000</t>
  </si>
  <si>
    <t>Raionul Briceni</t>
  </si>
  <si>
    <t>Balasineşti</t>
  </si>
  <si>
    <t>1410000</t>
  </si>
  <si>
    <t>RBM26</t>
  </si>
  <si>
    <t>or. Briceni</t>
  </si>
  <si>
    <t>Beleavinţi</t>
  </si>
  <si>
    <t>1411000</t>
  </si>
  <si>
    <t>Berlinți</t>
  </si>
  <si>
    <t>1415000</t>
  </si>
  <si>
    <t>Caracuşenii Vechi</t>
  </si>
  <si>
    <t>1416000</t>
  </si>
  <si>
    <t>com. Bălcăuţi</t>
  </si>
  <si>
    <t>1412000</t>
  </si>
  <si>
    <t>com. Berlinţi</t>
  </si>
  <si>
    <t>1413000</t>
  </si>
  <si>
    <t>com. Bogdăneşti</t>
  </si>
  <si>
    <t>1414000</t>
  </si>
  <si>
    <t>RBM13</t>
  </si>
  <si>
    <t>or. Edineţ</t>
  </si>
  <si>
    <t>com. Colicăuţi</t>
  </si>
  <si>
    <t>1417000</t>
  </si>
  <si>
    <t>com. Halahora de Sus</t>
  </si>
  <si>
    <t>1424000</t>
  </si>
  <si>
    <t>com. Larga</t>
  </si>
  <si>
    <t>1426000</t>
  </si>
  <si>
    <t>com. Mărcăuţi</t>
  </si>
  <si>
    <t>1427000</t>
  </si>
  <si>
    <t>com. Medveja</t>
  </si>
  <si>
    <t>1428000</t>
  </si>
  <si>
    <t>com. Mihăileni</t>
  </si>
  <si>
    <t>1429000</t>
  </si>
  <si>
    <t>Corjeuţi</t>
  </si>
  <si>
    <t>1418000</t>
  </si>
  <si>
    <t>Coteala</t>
  </si>
  <si>
    <t>1419000</t>
  </si>
  <si>
    <t>Cotiujeni</t>
  </si>
  <si>
    <t>1420000</t>
  </si>
  <si>
    <t>Criva</t>
  </si>
  <si>
    <t>1421000</t>
  </si>
  <si>
    <t>Drepcăuţi</t>
  </si>
  <si>
    <t>1422000</t>
  </si>
  <si>
    <t>Grimăncăuţi</t>
  </si>
  <si>
    <t>1423000</t>
  </si>
  <si>
    <t>Grimăncăuți</t>
  </si>
  <si>
    <t>Hlina</t>
  </si>
  <si>
    <t>1425000</t>
  </si>
  <si>
    <t>1401000</t>
  </si>
  <si>
    <t>or. Lipcani</t>
  </si>
  <si>
    <t>1402000</t>
  </si>
  <si>
    <t>Pererita</t>
  </si>
  <si>
    <t>1430000</t>
  </si>
  <si>
    <t>Slobozia-Şirăuţi</t>
  </si>
  <si>
    <t>1431000</t>
  </si>
  <si>
    <t>Şirăuţi</t>
  </si>
  <si>
    <t>1432000</t>
  </si>
  <si>
    <t>Tabani</t>
  </si>
  <si>
    <t>1433000</t>
  </si>
  <si>
    <t>Teţcani</t>
  </si>
  <si>
    <t>1434000</t>
  </si>
  <si>
    <t>Trebisăuţi</t>
  </si>
  <si>
    <t>1435000</t>
  </si>
  <si>
    <t>Rădeni</t>
  </si>
  <si>
    <t>2527000</t>
  </si>
  <si>
    <t>RBM30</t>
  </si>
  <si>
    <t>or. Teleneşti</t>
  </si>
  <si>
    <t>Raionul Donduşeni</t>
  </si>
  <si>
    <t>Baraboi</t>
  </si>
  <si>
    <t>3411000</t>
  </si>
  <si>
    <t>Raionul Edineţ</t>
  </si>
  <si>
    <t>Alexeevca</t>
  </si>
  <si>
    <t>4111000</t>
  </si>
  <si>
    <t>Bădragii Noi</t>
  </si>
  <si>
    <t>4112000</t>
  </si>
  <si>
    <t>Bădragii Vechi</t>
  </si>
  <si>
    <t>4113000</t>
  </si>
  <si>
    <t>Brînzeni</t>
  </si>
  <si>
    <t>4116000</t>
  </si>
  <si>
    <t>Chetroşica Nouă</t>
  </si>
  <si>
    <t>4119000</t>
  </si>
  <si>
    <t>com. Bleşteni</t>
  </si>
  <si>
    <t>4114000</t>
  </si>
  <si>
    <t>com. Brătuşeni</t>
  </si>
  <si>
    <t>4115000</t>
  </si>
  <si>
    <t>com. Burlăneşti</t>
  </si>
  <si>
    <t>4117000</t>
  </si>
  <si>
    <t>com. Cepeleuţi</t>
  </si>
  <si>
    <t>4118000</t>
  </si>
  <si>
    <t>com. Constantinovca</t>
  </si>
  <si>
    <t>4119100</t>
  </si>
  <si>
    <t>com. Cuconeştii Noi</t>
  </si>
  <si>
    <t>4121000</t>
  </si>
  <si>
    <t>com. Hincăuţi</t>
  </si>
  <si>
    <t>4128000</t>
  </si>
  <si>
    <t>com. Parcova</t>
  </si>
  <si>
    <t>4131000</t>
  </si>
  <si>
    <t>com. Rotunda</t>
  </si>
  <si>
    <t>4132000</t>
  </si>
  <si>
    <t>com. Ruseni</t>
  </si>
  <si>
    <t>4133000</t>
  </si>
  <si>
    <t>com. Zăbriceni</t>
  </si>
  <si>
    <t>4141000</t>
  </si>
  <si>
    <t>Corpaci</t>
  </si>
  <si>
    <t>4120000</t>
  </si>
  <si>
    <t>Feteşti</t>
  </si>
  <si>
    <t>4122000</t>
  </si>
  <si>
    <t>Gaşpar</t>
  </si>
  <si>
    <t>4123000</t>
  </si>
  <si>
    <t>Goleni</t>
  </si>
  <si>
    <t>4124000</t>
  </si>
  <si>
    <t>Gordineşti</t>
  </si>
  <si>
    <t>4125000</t>
  </si>
  <si>
    <t>Hancăuţi</t>
  </si>
  <si>
    <t>4127000</t>
  </si>
  <si>
    <t>Hlinaia</t>
  </si>
  <si>
    <t>4129000</t>
  </si>
  <si>
    <t>Lopatnic</t>
  </si>
  <si>
    <t>4130000</t>
  </si>
  <si>
    <t>or. Cupcini</t>
  </si>
  <si>
    <t>4102000</t>
  </si>
  <si>
    <t>4101000</t>
  </si>
  <si>
    <t>4134000</t>
  </si>
  <si>
    <t>Şofrîncani</t>
  </si>
  <si>
    <t>4135000</t>
  </si>
  <si>
    <t>Terebna</t>
  </si>
  <si>
    <t>4136000</t>
  </si>
  <si>
    <t>Tîrnova</t>
  </si>
  <si>
    <t>4137000</t>
  </si>
  <si>
    <t>Trinca</t>
  </si>
  <si>
    <t>4138000</t>
  </si>
  <si>
    <t>Viişoara</t>
  </si>
  <si>
    <t>4140000</t>
  </si>
  <si>
    <t>Raionul Făleşti</t>
  </si>
  <si>
    <t>Bocani</t>
  </si>
  <si>
    <t>4311000</t>
  </si>
  <si>
    <t>RBM08</t>
  </si>
  <si>
    <t>or. Făleşti</t>
  </si>
  <si>
    <t>Catranîc</t>
  </si>
  <si>
    <t>4312000</t>
  </si>
  <si>
    <t>Călineşti</t>
  </si>
  <si>
    <t>4313000</t>
  </si>
  <si>
    <t>com. Albineţul Vechi</t>
  </si>
  <si>
    <t>4310000</t>
  </si>
  <si>
    <t>com. Călugăr</t>
  </si>
  <si>
    <t>4314000</t>
  </si>
  <si>
    <t>com. Egorovca</t>
  </si>
  <si>
    <t>4316000</t>
  </si>
  <si>
    <t>com. Făleştii Noi</t>
  </si>
  <si>
    <t>4317000</t>
  </si>
  <si>
    <t>com. Hiliuţi</t>
  </si>
  <si>
    <t>4319000</t>
  </si>
  <si>
    <t>com. Işcălău</t>
  </si>
  <si>
    <t>4322000</t>
  </si>
  <si>
    <t>com. Logofteni</t>
  </si>
  <si>
    <t>4324000</t>
  </si>
  <si>
    <t>com. Natalievca</t>
  </si>
  <si>
    <t>4327000</t>
  </si>
  <si>
    <t>com. Obreja Veche</t>
  </si>
  <si>
    <t>4329000</t>
  </si>
  <si>
    <t>com. Pietrosu</t>
  </si>
  <si>
    <t>4330000</t>
  </si>
  <si>
    <t>com. Pînzăreni</t>
  </si>
  <si>
    <t>4331000</t>
  </si>
  <si>
    <t>com. Pompa</t>
  </si>
  <si>
    <t>4333000</t>
  </si>
  <si>
    <t>com. Pruteni</t>
  </si>
  <si>
    <t>4334000</t>
  </si>
  <si>
    <t>com. Risipeni</t>
  </si>
  <si>
    <t>4336000</t>
  </si>
  <si>
    <t>com. Sărata Veche</t>
  </si>
  <si>
    <t>4337000</t>
  </si>
  <si>
    <t>com. Scumpia</t>
  </si>
  <si>
    <t>4338000</t>
  </si>
  <si>
    <t>Glinjeni</t>
  </si>
  <si>
    <t>4318000</t>
  </si>
  <si>
    <t>Ilenuţa</t>
  </si>
  <si>
    <t>4321000</t>
  </si>
  <si>
    <t>Mărăndeni</t>
  </si>
  <si>
    <t>4325000</t>
  </si>
  <si>
    <t>Musteaţa</t>
  </si>
  <si>
    <t>4326000</t>
  </si>
  <si>
    <t>Năvîrneţ</t>
  </si>
  <si>
    <t>4328000</t>
  </si>
  <si>
    <t>4301000</t>
  </si>
  <si>
    <t>Pîrliţa</t>
  </si>
  <si>
    <t>4332000</t>
  </si>
  <si>
    <t>Răuţel</t>
  </si>
  <si>
    <t>4335000</t>
  </si>
  <si>
    <t>Raionul Floreşti</t>
  </si>
  <si>
    <t>Băhrineşti</t>
  </si>
  <si>
    <t>4511000</t>
  </si>
  <si>
    <t>RBM12</t>
  </si>
  <si>
    <t>or. Floreşti</t>
  </si>
  <si>
    <t>Caşunca</t>
  </si>
  <si>
    <t>4512000</t>
  </si>
  <si>
    <t>com. Ciutuleşti</t>
  </si>
  <si>
    <t>4516000</t>
  </si>
  <si>
    <t>com. Frumuşica</t>
  </si>
  <si>
    <t>4522000</t>
  </si>
  <si>
    <t>com. Gura Căinarului</t>
  </si>
  <si>
    <t>4525000</t>
  </si>
  <si>
    <t>com. Iliciovca</t>
  </si>
  <si>
    <t>4526000</t>
  </si>
  <si>
    <t>com. Nicolaevca</t>
  </si>
  <si>
    <t>4532000</t>
  </si>
  <si>
    <t>com. Prajila</t>
  </si>
  <si>
    <t>4534000</t>
  </si>
  <si>
    <t>com. Roşietici</t>
  </si>
  <si>
    <t>4538000</t>
  </si>
  <si>
    <t>com. Sevirova</t>
  </si>
  <si>
    <t>4540000</t>
  </si>
  <si>
    <t>com. Ştefăneşti</t>
  </si>
  <si>
    <t>4541000</t>
  </si>
  <si>
    <t>com. Vărvăreuca</t>
  </si>
  <si>
    <t>4545000</t>
  </si>
  <si>
    <t>Lunga</t>
  </si>
  <si>
    <t>4529000</t>
  </si>
  <si>
    <t>Raionul Florești</t>
  </si>
  <si>
    <t>Mărculești</t>
  </si>
  <si>
    <t>4501000</t>
  </si>
  <si>
    <t>or. Mărculeşti</t>
  </si>
  <si>
    <t>4503000</t>
  </si>
  <si>
    <t>Putineşti</t>
  </si>
  <si>
    <t>4536000</t>
  </si>
  <si>
    <t>Raionul Glodeni</t>
  </si>
  <si>
    <t>Cajba</t>
  </si>
  <si>
    <t>4811000</t>
  </si>
  <si>
    <t>RBM23</t>
  </si>
  <si>
    <t>or. Glodeni</t>
  </si>
  <si>
    <t>Ciuciulea</t>
  </si>
  <si>
    <t>4813000</t>
  </si>
  <si>
    <t>Cobani</t>
  </si>
  <si>
    <t>4814000</t>
  </si>
  <si>
    <t>com. Balatina</t>
  </si>
  <si>
    <t>4810000</t>
  </si>
  <si>
    <t>com. Camenca</t>
  </si>
  <si>
    <t>4812000</t>
  </si>
  <si>
    <t>com. Cuhneşti</t>
  </si>
  <si>
    <t>4815000</t>
  </si>
  <si>
    <t>com. Danu</t>
  </si>
  <si>
    <t>4816000</t>
  </si>
  <si>
    <t>com. Iabloana</t>
  </si>
  <si>
    <t>4821000</t>
  </si>
  <si>
    <t>com. Viişoara</t>
  </si>
  <si>
    <t>4827000</t>
  </si>
  <si>
    <t>Duşmani</t>
  </si>
  <si>
    <t>4817000</t>
  </si>
  <si>
    <t>Fundurii Noi</t>
  </si>
  <si>
    <t>4818000</t>
  </si>
  <si>
    <t>Fundurii Vechi</t>
  </si>
  <si>
    <t>4819000</t>
  </si>
  <si>
    <t>Hîjdieni</t>
  </si>
  <si>
    <t>4820000</t>
  </si>
  <si>
    <t>Limbenii Noi</t>
  </si>
  <si>
    <t>4822000</t>
  </si>
  <si>
    <t>Limbenii Vechi</t>
  </si>
  <si>
    <t>4823000</t>
  </si>
  <si>
    <t>4801000</t>
  </si>
  <si>
    <t>Petrunea</t>
  </si>
  <si>
    <t>4824000</t>
  </si>
  <si>
    <t>Sturzovca</t>
  </si>
  <si>
    <t>4825000</t>
  </si>
  <si>
    <t>4826000</t>
  </si>
  <si>
    <t>Raionul Ocniţa</t>
  </si>
  <si>
    <t>com. Bîrlădeni</t>
  </si>
  <si>
    <t>6210000</t>
  </si>
  <si>
    <t>com. Grinăuţi-Moldova</t>
  </si>
  <si>
    <t>6217000</t>
  </si>
  <si>
    <t>RBM28</t>
  </si>
  <si>
    <t>or. Ocniţa</t>
  </si>
  <si>
    <t>com. Mihălăşeni</t>
  </si>
  <si>
    <t>6222000</t>
  </si>
  <si>
    <t>Corestăuţi</t>
  </si>
  <si>
    <t>6214000</t>
  </si>
  <si>
    <t>Raionul Rîșcani</t>
  </si>
  <si>
    <t>Duruitoarea Nouă</t>
  </si>
  <si>
    <t>Raionul Sîngerei</t>
  </si>
  <si>
    <t>com. Alexăndreni</t>
  </si>
  <si>
    <t>7410000</t>
  </si>
  <si>
    <t>com. Bălăşeşti</t>
  </si>
  <si>
    <t>7411000</t>
  </si>
  <si>
    <t>com. Bilicenii Noi</t>
  </si>
  <si>
    <t>7412000</t>
  </si>
  <si>
    <t>com. Bilicenii Vechi</t>
  </si>
  <si>
    <t>7413000</t>
  </si>
  <si>
    <t>RBM25</t>
  </si>
  <si>
    <t>or. Sîngerei</t>
  </si>
  <si>
    <t>com. Bursuceni</t>
  </si>
  <si>
    <t>7414000</t>
  </si>
  <si>
    <t>com. Chişcăreni</t>
  </si>
  <si>
    <t>7415000</t>
  </si>
  <si>
    <t>com. Ciuciuieni</t>
  </si>
  <si>
    <t>7416000</t>
  </si>
  <si>
    <t>com. Copăceni</t>
  </si>
  <si>
    <t>7417000</t>
  </si>
  <si>
    <t>com. Coşcodeni</t>
  </si>
  <si>
    <t>7418000</t>
  </si>
  <si>
    <t>com. Cotiujenii Mici</t>
  </si>
  <si>
    <t>7419000</t>
  </si>
  <si>
    <t>com. Cubolta</t>
  </si>
  <si>
    <t>7420000</t>
  </si>
  <si>
    <t>com. Dobrogea Veche</t>
  </si>
  <si>
    <t>7421000</t>
  </si>
  <si>
    <t>com. Drăgăneşti</t>
  </si>
  <si>
    <t>7422000</t>
  </si>
  <si>
    <t>com. Dumbrăviţa</t>
  </si>
  <si>
    <t>7423000</t>
  </si>
  <si>
    <t>com. Grigorăuca</t>
  </si>
  <si>
    <t>7424000</t>
  </si>
  <si>
    <t>com. Heciul Nou</t>
  </si>
  <si>
    <t>7425000</t>
  </si>
  <si>
    <t>com. Iezărenii Vechi</t>
  </si>
  <si>
    <t>7426000</t>
  </si>
  <si>
    <t>com. Izvoare</t>
  </si>
  <si>
    <t>7427000</t>
  </si>
  <si>
    <t>com. Pepeni</t>
  </si>
  <si>
    <t>7428000</t>
  </si>
  <si>
    <t>com. Prepeliţa</t>
  </si>
  <si>
    <t>7429000</t>
  </si>
  <si>
    <t>com. Sîngereii Noi</t>
  </si>
  <si>
    <t>7432000</t>
  </si>
  <si>
    <t>com. Tăura Veche</t>
  </si>
  <si>
    <t>7431000</t>
  </si>
  <si>
    <t>com. Ţambula</t>
  </si>
  <si>
    <t>7433000</t>
  </si>
  <si>
    <t>or. Biruinţa</t>
  </si>
  <si>
    <t>7402000</t>
  </si>
  <si>
    <t>7401000</t>
  </si>
  <si>
    <t>Rădoaia</t>
  </si>
  <si>
    <t>7430000</t>
  </si>
  <si>
    <t>Raionul Teleneşti</t>
  </si>
  <si>
    <t>Cîşla</t>
  </si>
  <si>
    <t>8917000</t>
  </si>
  <si>
    <t>com. Ghiliceni</t>
  </si>
  <si>
    <t>8921000</t>
  </si>
  <si>
    <t>com. Mîndreşti</t>
  </si>
  <si>
    <t>8925000</t>
  </si>
  <si>
    <t>com. Zgărdeşti</t>
  </si>
  <si>
    <t>8938000</t>
  </si>
  <si>
    <t>Hirişeni</t>
  </si>
  <si>
    <t>8922000</t>
  </si>
  <si>
    <t>Rîşcani</t>
  </si>
  <si>
    <t>Aluniş</t>
  </si>
  <si>
    <t>7111000</t>
  </si>
  <si>
    <t>Borosenii Noi</t>
  </si>
  <si>
    <t>7112000</t>
  </si>
  <si>
    <t>com. Alexăndreşti</t>
  </si>
  <si>
    <t>7110000</t>
  </si>
  <si>
    <t>com. Branişte</t>
  </si>
  <si>
    <t>7113000</t>
  </si>
  <si>
    <t>com. Duruitoarea Nouă</t>
  </si>
  <si>
    <t>7115000</t>
  </si>
  <si>
    <t>com. Gălăşeni</t>
  </si>
  <si>
    <t>7116000</t>
  </si>
  <si>
    <t>com. Grinăuţi</t>
  </si>
  <si>
    <t>7117000</t>
  </si>
  <si>
    <t>com. Malinovscoe</t>
  </si>
  <si>
    <t>7120000</t>
  </si>
  <si>
    <t>com. Pociumbeni</t>
  </si>
  <si>
    <t>7127000</t>
  </si>
  <si>
    <t>com. Răcăria</t>
  </si>
  <si>
    <t>7128000</t>
  </si>
  <si>
    <t>com. Recea</t>
  </si>
  <si>
    <t>7130000</t>
  </si>
  <si>
    <t>com. Şumna</t>
  </si>
  <si>
    <t>7133100</t>
  </si>
  <si>
    <t>com. Vasileuţi</t>
  </si>
  <si>
    <t>7134000</t>
  </si>
  <si>
    <t>Corlăteni</t>
  </si>
  <si>
    <t>7114000</t>
  </si>
  <si>
    <t>Hiliuţi</t>
  </si>
  <si>
    <t>7118000</t>
  </si>
  <si>
    <t>7119000</t>
  </si>
  <si>
    <t>Mihăileni</t>
  </si>
  <si>
    <t>7121000</t>
  </si>
  <si>
    <t>Nihoreni</t>
  </si>
  <si>
    <t>7122000</t>
  </si>
  <si>
    <t>or. Costeşti</t>
  </si>
  <si>
    <t>7102000</t>
  </si>
  <si>
    <t>7101000</t>
  </si>
  <si>
    <t>Petruşeni</t>
  </si>
  <si>
    <t>7123000</t>
  </si>
  <si>
    <t>Pîrjota</t>
  </si>
  <si>
    <t>7125000</t>
  </si>
  <si>
    <t>Pociumbăuţi</t>
  </si>
  <si>
    <t>7126000</t>
  </si>
  <si>
    <t>Singureni</t>
  </si>
  <si>
    <t>7131000</t>
  </si>
  <si>
    <t>Sturzeni</t>
  </si>
  <si>
    <t>7132000</t>
  </si>
  <si>
    <t>Şaptebani</t>
  </si>
  <si>
    <t>7133000</t>
  </si>
  <si>
    <t>7135000</t>
  </si>
  <si>
    <t>Zăicani</t>
  </si>
  <si>
    <t>7136000</t>
  </si>
  <si>
    <t>RBR03 · Ungheni–West</t>
  </si>
  <si>
    <t>com. Bahmut</t>
  </si>
  <si>
    <t>2510000</t>
  </si>
  <si>
    <t>com. Sipoteni</t>
  </si>
  <si>
    <t>2530000</t>
  </si>
  <si>
    <t>com. Ciolacu Nou</t>
  </si>
  <si>
    <t>4315000</t>
  </si>
  <si>
    <t>com. Horeşti</t>
  </si>
  <si>
    <t>4320000</t>
  </si>
  <si>
    <t>com. Taxobeni</t>
  </si>
  <si>
    <t>4339000</t>
  </si>
  <si>
    <t>RBM33</t>
  </si>
  <si>
    <t>com. Sculeni</t>
  </si>
  <si>
    <t>Izvoare</t>
  </si>
  <si>
    <t>4323000</t>
  </si>
  <si>
    <t>Călmăţui</t>
  </si>
  <si>
    <t>5317000</t>
  </si>
  <si>
    <t>RBM22</t>
  </si>
  <si>
    <t>or. Leova</t>
  </si>
  <si>
    <t>Căţeleni</t>
  </si>
  <si>
    <t>5319000</t>
  </si>
  <si>
    <t>com. Cotul Morii</t>
  </si>
  <si>
    <t>5322000</t>
  </si>
  <si>
    <t>com. Ivanovca</t>
  </si>
  <si>
    <t>5328000</t>
  </si>
  <si>
    <t>com. Leuşeni</t>
  </si>
  <si>
    <t>5330000</t>
  </si>
  <si>
    <t>Dancu</t>
  </si>
  <si>
    <t>5324000</t>
  </si>
  <si>
    <t>Nemţeni</t>
  </si>
  <si>
    <t>5336000</t>
  </si>
  <si>
    <t>Obileni</t>
  </si>
  <si>
    <t>5337000</t>
  </si>
  <si>
    <t>Bălăureşti</t>
  </si>
  <si>
    <t>6011000</t>
  </si>
  <si>
    <t>Bărboieni</t>
  </si>
  <si>
    <t>6012000</t>
  </si>
  <si>
    <t>Călimăneşti</t>
  </si>
  <si>
    <t>6017000</t>
  </si>
  <si>
    <t>com. Bălăneşti</t>
  </si>
  <si>
    <t>6010000</t>
  </si>
  <si>
    <t>com. Boldureşti</t>
  </si>
  <si>
    <t>6013000</t>
  </si>
  <si>
    <t>com. Brătuleni</t>
  </si>
  <si>
    <t>6015000</t>
  </si>
  <si>
    <t>RBM03</t>
  </si>
  <si>
    <t>or. Ungheni</t>
  </si>
  <si>
    <t>com. Ciuteşti</t>
  </si>
  <si>
    <t>6019000</t>
  </si>
  <si>
    <t>com. Marinici</t>
  </si>
  <si>
    <t>6023000</t>
  </si>
  <si>
    <t>com. Selişte</t>
  </si>
  <si>
    <t>6025000</t>
  </si>
  <si>
    <t>com. Şişcani</t>
  </si>
  <si>
    <t>6027000</t>
  </si>
  <si>
    <t>com. Valea-Trestieni</t>
  </si>
  <si>
    <t>6028000</t>
  </si>
  <si>
    <t>com. Vărzăreşti</t>
  </si>
  <si>
    <t>6029000</t>
  </si>
  <si>
    <t>Grozeşti</t>
  </si>
  <si>
    <t>6021000</t>
  </si>
  <si>
    <t>Mileşti</t>
  </si>
  <si>
    <t>6024000</t>
  </si>
  <si>
    <t>6001000</t>
  </si>
  <si>
    <t>Soltăneşti</t>
  </si>
  <si>
    <t>6026000</t>
  </si>
  <si>
    <t>Vînători</t>
  </si>
  <si>
    <t>6030000</t>
  </si>
  <si>
    <t>Zberoaia</t>
  </si>
  <si>
    <t>6031000</t>
  </si>
  <si>
    <t>Raionul Ungheni</t>
  </si>
  <si>
    <t>Bumbăta</t>
  </si>
  <si>
    <t>9214000</t>
  </si>
  <si>
    <t>Buşila</t>
  </si>
  <si>
    <t>9215000</t>
  </si>
  <si>
    <t>Cetireni</t>
  </si>
  <si>
    <t>9216000</t>
  </si>
  <si>
    <t>Chirileni</t>
  </si>
  <si>
    <t>9217000</t>
  </si>
  <si>
    <t>com. Agronomovca</t>
  </si>
  <si>
    <t>9210000</t>
  </si>
  <si>
    <t>com. Alexeevca</t>
  </si>
  <si>
    <t>9211000</t>
  </si>
  <si>
    <t>com. Boghenii Noi</t>
  </si>
  <si>
    <t>9212000</t>
  </si>
  <si>
    <t>com. Buciumeni</t>
  </si>
  <si>
    <t>9213000</t>
  </si>
  <si>
    <t>com. Cioropcani</t>
  </si>
  <si>
    <t>9218000</t>
  </si>
  <si>
    <t>com. Condrăteşti</t>
  </si>
  <si>
    <t>9219000</t>
  </si>
  <si>
    <t>com. Floriţoaia Veche</t>
  </si>
  <si>
    <t>9223000</t>
  </si>
  <si>
    <t>com. Hîrceşti</t>
  </si>
  <si>
    <t>9224000</t>
  </si>
  <si>
    <t>com. Măcăreşti</t>
  </si>
  <si>
    <t>9225000</t>
  </si>
  <si>
    <t>com. Mănoileşti</t>
  </si>
  <si>
    <t>9227000</t>
  </si>
  <si>
    <t>com. Morenii Noi</t>
  </si>
  <si>
    <t>9228000</t>
  </si>
  <si>
    <t>com. Negurenii Vechi</t>
  </si>
  <si>
    <t>9230000</t>
  </si>
  <si>
    <t>com. Petreşti</t>
  </si>
  <si>
    <t>9231000</t>
  </si>
  <si>
    <t>com. Pîrliţa</t>
  </si>
  <si>
    <t>9232000</t>
  </si>
  <si>
    <t>9234000</t>
  </si>
  <si>
    <t>com. Sineşti</t>
  </si>
  <si>
    <t>9235000</t>
  </si>
  <si>
    <t>com. Todireşti</t>
  </si>
  <si>
    <t>9237000</t>
  </si>
  <si>
    <t>com. Valea Mare</t>
  </si>
  <si>
    <t>9239000</t>
  </si>
  <si>
    <t>com. Zagarancea</t>
  </si>
  <si>
    <t>9240000</t>
  </si>
  <si>
    <t>Cornești</t>
  </si>
  <si>
    <t>Cornova</t>
  </si>
  <si>
    <t>9221000</t>
  </si>
  <si>
    <t>Costuleni</t>
  </si>
  <si>
    <t>9222000</t>
  </si>
  <si>
    <t>Măgurele</t>
  </si>
  <si>
    <t>9226000</t>
  </si>
  <si>
    <t>Năpădeni</t>
  </si>
  <si>
    <t>9229000</t>
  </si>
  <si>
    <t>or. Corneşti</t>
  </si>
  <si>
    <t>9202000</t>
  </si>
  <si>
    <t>9201000</t>
  </si>
  <si>
    <t>Rădenii Vechi</t>
  </si>
  <si>
    <t>9233000</t>
  </si>
  <si>
    <t>Teşcureni</t>
  </si>
  <si>
    <t>9236000</t>
  </si>
  <si>
    <t>Unţeşti</t>
  </si>
  <si>
    <t>9238000</t>
  </si>
  <si>
    <t>RBR04 · Soroca–North-East</t>
  </si>
  <si>
    <t>Antoneuca</t>
  </si>
  <si>
    <t>3610000</t>
  </si>
  <si>
    <t>Chetrosu</t>
  </si>
  <si>
    <t>3612000</t>
  </si>
  <si>
    <t>com. Baroncea</t>
  </si>
  <si>
    <t>3611000</t>
  </si>
  <si>
    <t>com. Cotova</t>
  </si>
  <si>
    <t>3613000</t>
  </si>
  <si>
    <t>com. Fîntîniţa</t>
  </si>
  <si>
    <t>3617000</t>
  </si>
  <si>
    <t>com. Palanca</t>
  </si>
  <si>
    <t>3626000</t>
  </si>
  <si>
    <t>com. Pervomaiscoe</t>
  </si>
  <si>
    <t>3628000</t>
  </si>
  <si>
    <t>com. Şalvirii Vechi</t>
  </si>
  <si>
    <t>3633000</t>
  </si>
  <si>
    <t>com. Şuri</t>
  </si>
  <si>
    <t>3634000</t>
  </si>
  <si>
    <t>Maramonovca</t>
  </si>
  <si>
    <t>3620000</t>
  </si>
  <si>
    <t>Mîndîc</t>
  </si>
  <si>
    <t>3622000</t>
  </si>
  <si>
    <t>3601000</t>
  </si>
  <si>
    <t>Popeştii de Jos</t>
  </si>
  <si>
    <t>3630000</t>
  </si>
  <si>
    <t>Popeştii de Sus</t>
  </si>
  <si>
    <t>3631000</t>
  </si>
  <si>
    <t>Ţarigrad</t>
  </si>
  <si>
    <t>3635000</t>
  </si>
  <si>
    <t>Zguriţa</t>
  </si>
  <si>
    <t>3636000</t>
  </si>
  <si>
    <t>Arioneşti</t>
  </si>
  <si>
    <t>3410000</t>
  </si>
  <si>
    <t>Briceni</t>
  </si>
  <si>
    <t>3412000</t>
  </si>
  <si>
    <t>Cernoleuca</t>
  </si>
  <si>
    <t>3413000</t>
  </si>
  <si>
    <t>Climăuţi</t>
  </si>
  <si>
    <t>3414000</t>
  </si>
  <si>
    <t>com. Elizavetovca</t>
  </si>
  <si>
    <t>3417100</t>
  </si>
  <si>
    <t>com. Frasin</t>
  </si>
  <si>
    <t>3418000</t>
  </si>
  <si>
    <t>com. Moşana</t>
  </si>
  <si>
    <t>3420000</t>
  </si>
  <si>
    <t>com. Sudarca</t>
  </si>
  <si>
    <t>3426000</t>
  </si>
  <si>
    <t>com. Teleşeuca</t>
  </si>
  <si>
    <t>3427000</t>
  </si>
  <si>
    <t>RBM06</t>
  </si>
  <si>
    <t>or. Soroca</t>
  </si>
  <si>
    <t>com. Tîrnova</t>
  </si>
  <si>
    <t>3428000</t>
  </si>
  <si>
    <t>Corbu</t>
  </si>
  <si>
    <t>3415000</t>
  </si>
  <si>
    <t>Crişcăuţi</t>
  </si>
  <si>
    <t>3416000</t>
  </si>
  <si>
    <t>Raionul Dondușeni</t>
  </si>
  <si>
    <t>Dondușeni</t>
  </si>
  <si>
    <t>3419000</t>
  </si>
  <si>
    <t>or. Donduşeni</t>
  </si>
  <si>
    <t>3401000</t>
  </si>
  <si>
    <t>Pivniceni</t>
  </si>
  <si>
    <t>3421000</t>
  </si>
  <si>
    <t>Plop</t>
  </si>
  <si>
    <t>3422000</t>
  </si>
  <si>
    <t>Pocrovca</t>
  </si>
  <si>
    <t>3423000</t>
  </si>
  <si>
    <t>Rediul Mare</t>
  </si>
  <si>
    <t>3424000</t>
  </si>
  <si>
    <t>Scăieni</t>
  </si>
  <si>
    <t>3425000</t>
  </si>
  <si>
    <t>Ţaul</t>
  </si>
  <si>
    <t>3429000</t>
  </si>
  <si>
    <t>Raionul Drochia</t>
  </si>
  <si>
    <t>Cerniţa</t>
  </si>
  <si>
    <t>4514000</t>
  </si>
  <si>
    <t>Ciripcău</t>
  </si>
  <si>
    <t>4515000</t>
  </si>
  <si>
    <t>4510000</t>
  </si>
  <si>
    <t>com. Cuhureştii de Jos</t>
  </si>
  <si>
    <t>4518000</t>
  </si>
  <si>
    <t>com. Cuhureştii de Sus</t>
  </si>
  <si>
    <t>4519000</t>
  </si>
  <si>
    <t>com. Gura Camencii</t>
  </si>
  <si>
    <t>4524000</t>
  </si>
  <si>
    <t>4527000</t>
  </si>
  <si>
    <t>com. Japca</t>
  </si>
  <si>
    <t>4528000</t>
  </si>
  <si>
    <t>com. Prodăneşti</t>
  </si>
  <si>
    <t>4535000</t>
  </si>
  <si>
    <t>com. Trifăneşti</t>
  </si>
  <si>
    <t>4544000</t>
  </si>
  <si>
    <t>com. Văscăuţi</t>
  </si>
  <si>
    <t>4546000</t>
  </si>
  <si>
    <t>4517000</t>
  </si>
  <si>
    <t>Cunicea</t>
  </si>
  <si>
    <t>4520000</t>
  </si>
  <si>
    <t>Domulgeni</t>
  </si>
  <si>
    <t>4521000</t>
  </si>
  <si>
    <t>Ghindești</t>
  </si>
  <si>
    <t>Năpadova</t>
  </si>
  <si>
    <t>4531000</t>
  </si>
  <si>
    <t>or. Ghindeşti</t>
  </si>
  <si>
    <t>4502000</t>
  </si>
  <si>
    <t>Rădulenii Vechi</t>
  </si>
  <si>
    <t>4537000</t>
  </si>
  <si>
    <t>Sănătăuca</t>
  </si>
  <si>
    <t>4539000</t>
  </si>
  <si>
    <t>4542000</t>
  </si>
  <si>
    <t>Tîrgul-Vertiujeni</t>
  </si>
  <si>
    <t>4543000</t>
  </si>
  <si>
    <t>Vertiujeni</t>
  </si>
  <si>
    <t>4547000</t>
  </si>
  <si>
    <t>Zăluceni</t>
  </si>
  <si>
    <t>4548000</t>
  </si>
  <si>
    <t>Bîrnova</t>
  </si>
  <si>
    <t>6211000</t>
  </si>
  <si>
    <t>Clocuşna</t>
  </si>
  <si>
    <t>6213000</t>
  </si>
  <si>
    <t>com. Calaraşovca</t>
  </si>
  <si>
    <t>6212000</t>
  </si>
  <si>
    <t>com. Dîngeni</t>
  </si>
  <si>
    <t>6215000</t>
  </si>
  <si>
    <t>com. Lencăuţi</t>
  </si>
  <si>
    <t>6219000</t>
  </si>
  <si>
    <t>com. Lipnic</t>
  </si>
  <si>
    <t>6220000</t>
  </si>
  <si>
    <t>com. Vălcineţ</t>
  </si>
  <si>
    <t>6227000</t>
  </si>
  <si>
    <t>Gîrbova</t>
  </si>
  <si>
    <t>6216000</t>
  </si>
  <si>
    <t>Hădărăuţi</t>
  </si>
  <si>
    <t>6218000</t>
  </si>
  <si>
    <t>Mereşeuca</t>
  </si>
  <si>
    <t>6221000</t>
  </si>
  <si>
    <t>Naslavcea</t>
  </si>
  <si>
    <t>6223000</t>
  </si>
  <si>
    <t>Raionul Ocnița</t>
  </si>
  <si>
    <t>Ocnița</t>
  </si>
  <si>
    <t>or. Frunză</t>
  </si>
  <si>
    <t>6202000</t>
  </si>
  <si>
    <t>6201000</t>
  </si>
  <si>
    <t>or. Otaci</t>
  </si>
  <si>
    <t>6203000</t>
  </si>
  <si>
    <t>Sauca</t>
  </si>
  <si>
    <t>6225000</t>
  </si>
  <si>
    <t>Unguri</t>
  </si>
  <si>
    <t>6226000</t>
  </si>
  <si>
    <t>Raionul Soroca</t>
  </si>
  <si>
    <t>Băxani</t>
  </si>
  <si>
    <t>7811000</t>
  </si>
  <si>
    <t>com. Bădiceni</t>
  </si>
  <si>
    <t>7810000</t>
  </si>
  <si>
    <t>com. Bulboci</t>
  </si>
  <si>
    <t>7812000</t>
  </si>
  <si>
    <t>com. Căinarii Vechi</t>
  </si>
  <si>
    <t>7813000</t>
  </si>
  <si>
    <t>com. Cosăuţi</t>
  </si>
  <si>
    <t>7814000</t>
  </si>
  <si>
    <t>com. Cremenciug</t>
  </si>
  <si>
    <t>7815000</t>
  </si>
  <si>
    <t>com. Dărcăuţi</t>
  </si>
  <si>
    <t>7816000</t>
  </si>
  <si>
    <t>com. Holoşniţa</t>
  </si>
  <si>
    <t>7819000</t>
  </si>
  <si>
    <t>com. Iarova</t>
  </si>
  <si>
    <t>7821000</t>
  </si>
  <si>
    <t>com. Nimereuca</t>
  </si>
  <si>
    <t>7821100</t>
  </si>
  <si>
    <t>com. Ocolina</t>
  </si>
  <si>
    <t>7823000</t>
  </si>
  <si>
    <t>com. Parcani</t>
  </si>
  <si>
    <t>7824000</t>
  </si>
  <si>
    <t>7825000</t>
  </si>
  <si>
    <t>com. Regina Maria</t>
  </si>
  <si>
    <t>7828000</t>
  </si>
  <si>
    <t>com. Rubleniţa</t>
  </si>
  <si>
    <t>7829000</t>
  </si>
  <si>
    <t>com. Schineni</t>
  </si>
  <si>
    <t>7831000</t>
  </si>
  <si>
    <t>com. Stoicani</t>
  </si>
  <si>
    <t>7832000</t>
  </si>
  <si>
    <t>com. Şolcani</t>
  </si>
  <si>
    <t>7834000</t>
  </si>
  <si>
    <t>com. Tătărăuca Veche</t>
  </si>
  <si>
    <t>7835000</t>
  </si>
  <si>
    <t>com. Vasilcău</t>
  </si>
  <si>
    <t>7837000</t>
  </si>
  <si>
    <t>com. Vădeni</t>
  </si>
  <si>
    <t>7838000</t>
  </si>
  <si>
    <t>com. Vărăncău</t>
  </si>
  <si>
    <t>7839000</t>
  </si>
  <si>
    <t>com. Voloviţa</t>
  </si>
  <si>
    <t>7841000</t>
  </si>
  <si>
    <t>Dubna</t>
  </si>
  <si>
    <t>7817000</t>
  </si>
  <si>
    <t>Egoreni</t>
  </si>
  <si>
    <t>7818000</t>
  </si>
  <si>
    <t>Hristici</t>
  </si>
  <si>
    <t>7820000</t>
  </si>
  <si>
    <t>Oclanda</t>
  </si>
  <si>
    <t>7822000</t>
  </si>
  <si>
    <t>7801000</t>
  </si>
  <si>
    <t>Racovăţ</t>
  </si>
  <si>
    <t>7826000</t>
  </si>
  <si>
    <t>Redi-Cereşnovăţ</t>
  </si>
  <si>
    <t>7827000</t>
  </si>
  <si>
    <t>Rudi</t>
  </si>
  <si>
    <t>7830000</t>
  </si>
  <si>
    <t>Şeptelici</t>
  </si>
  <si>
    <t>7833000</t>
  </si>
  <si>
    <t>Trifăuţi</t>
  </si>
  <si>
    <t>7836000</t>
  </si>
  <si>
    <t>Visoca</t>
  </si>
  <si>
    <t>7840000</t>
  </si>
  <si>
    <t>Zastînca</t>
  </si>
  <si>
    <t>7842000</t>
  </si>
  <si>
    <t>Raionul Şoldăneşti</t>
  </si>
  <si>
    <t>Chipeşca</t>
  </si>
  <si>
    <t>8311000</t>
  </si>
  <si>
    <t>Cobîlea</t>
  </si>
  <si>
    <t>8313000</t>
  </si>
  <si>
    <t>com. Climăuţii de Jos</t>
  </si>
  <si>
    <t>8312000</t>
  </si>
  <si>
    <t>com. Cotiujenii Mari</t>
  </si>
  <si>
    <t>8314000</t>
  </si>
  <si>
    <t>com. Dobruşa</t>
  </si>
  <si>
    <t>8316000</t>
  </si>
  <si>
    <t>com. Rogojeni</t>
  </si>
  <si>
    <t>8326000</t>
  </si>
  <si>
    <t>com. Salcia</t>
  </si>
  <si>
    <t>8327000</t>
  </si>
  <si>
    <t>com. Vadul-Raşcov</t>
  </si>
  <si>
    <t>8331000</t>
  </si>
  <si>
    <t>Pohoarna</t>
  </si>
  <si>
    <t>8323000</t>
  </si>
  <si>
    <t>RBR05 · Orhei–Centre-North</t>
  </si>
  <si>
    <t>Bravicea</t>
  </si>
  <si>
    <t>2511000</t>
  </si>
  <si>
    <t>com. Dereneu</t>
  </si>
  <si>
    <t>2514000</t>
  </si>
  <si>
    <t>com. Hîrjauca</t>
  </si>
  <si>
    <t>2517000</t>
  </si>
  <si>
    <t>com. Onişcani</t>
  </si>
  <si>
    <t>2522000</t>
  </si>
  <si>
    <t>com. Răciula</t>
  </si>
  <si>
    <t>2526000</t>
  </si>
  <si>
    <t>com. Săseni</t>
  </si>
  <si>
    <t>2529000</t>
  </si>
  <si>
    <t>com. Ţibirica</t>
  </si>
  <si>
    <t>2534000</t>
  </si>
  <si>
    <t>Frumoasa</t>
  </si>
  <si>
    <t>2515000</t>
  </si>
  <si>
    <t>Hirova</t>
  </si>
  <si>
    <t>2516000</t>
  </si>
  <si>
    <t>Hogineşti</t>
  </si>
  <si>
    <t>2518000</t>
  </si>
  <si>
    <t>Meleşeni</t>
  </si>
  <si>
    <t>2520000</t>
  </si>
  <si>
    <t>com. Hîrtopul Mare</t>
  </si>
  <si>
    <t>3120000</t>
  </si>
  <si>
    <t>com. Micleşti</t>
  </si>
  <si>
    <t>3127000</t>
  </si>
  <si>
    <t>RBM07</t>
  </si>
  <si>
    <t>or. Orhei</t>
  </si>
  <si>
    <t>com. Răculeşti</t>
  </si>
  <si>
    <t>3129100</t>
  </si>
  <si>
    <t>Işnovăţ</t>
  </si>
  <si>
    <t>3122000</t>
  </si>
  <si>
    <t>Izbişte</t>
  </si>
  <si>
    <t>3123000</t>
  </si>
  <si>
    <t>Jevreni</t>
  </si>
  <si>
    <t>3124000</t>
  </si>
  <si>
    <t>Maşcăuţi</t>
  </si>
  <si>
    <t>3125000</t>
  </si>
  <si>
    <t>Rîşcova</t>
  </si>
  <si>
    <t>3130000</t>
  </si>
  <si>
    <t>com. Cocieri</t>
  </si>
  <si>
    <t>3810000</t>
  </si>
  <si>
    <t>Corjova / Коржево</t>
  </si>
  <si>
    <t>Holercani</t>
  </si>
  <si>
    <t>3814000</t>
  </si>
  <si>
    <t>Marcăuţi</t>
  </si>
  <si>
    <t>3815000</t>
  </si>
  <si>
    <t>Molovata</t>
  </si>
  <si>
    <t>3816000</t>
  </si>
  <si>
    <t>Molovata Nouă</t>
  </si>
  <si>
    <t>3817000</t>
  </si>
  <si>
    <t>Oxentea</t>
  </si>
  <si>
    <t>3818000</t>
  </si>
  <si>
    <t>Raionul Orhei</t>
  </si>
  <si>
    <t>Bolohan</t>
  </si>
  <si>
    <t>6412000</t>
  </si>
  <si>
    <t>Brăviceni</t>
  </si>
  <si>
    <t>6413000</t>
  </si>
  <si>
    <t>Bulăieşti</t>
  </si>
  <si>
    <t>6414000</t>
  </si>
  <si>
    <t>Clişova</t>
  </si>
  <si>
    <t>6417000</t>
  </si>
  <si>
    <t>com. Berezlogi</t>
  </si>
  <si>
    <t>6410000</t>
  </si>
  <si>
    <t>com. Bieşti</t>
  </si>
  <si>
    <t>6411000</t>
  </si>
  <si>
    <t>com. Chiperceni</t>
  </si>
  <si>
    <t>6415000</t>
  </si>
  <si>
    <t>com. Ciocîlteni</t>
  </si>
  <si>
    <t>6416000</t>
  </si>
  <si>
    <t>com. Crihana</t>
  </si>
  <si>
    <t>6418000</t>
  </si>
  <si>
    <t>com. Cucuruzeni</t>
  </si>
  <si>
    <t>6419000</t>
  </si>
  <si>
    <t>com. Donici</t>
  </si>
  <si>
    <t>6420000</t>
  </si>
  <si>
    <t>com. Ghetlova</t>
  </si>
  <si>
    <t>6421000</t>
  </si>
  <si>
    <t>com. Ivancea</t>
  </si>
  <si>
    <t>6423000</t>
  </si>
  <si>
    <t>com. Jora de Mijloc</t>
  </si>
  <si>
    <t>6424000</t>
  </si>
  <si>
    <t>com. Mălăieşti</t>
  </si>
  <si>
    <t>6425000</t>
  </si>
  <si>
    <t>com. Mîrzeşti</t>
  </si>
  <si>
    <t>6426100</t>
  </si>
  <si>
    <t>com. Morozeni</t>
  </si>
  <si>
    <t>6427000</t>
  </si>
  <si>
    <t>com. Pelivan</t>
  </si>
  <si>
    <t>6429000</t>
  </si>
  <si>
    <t>com. Piatra</t>
  </si>
  <si>
    <t>6431000</t>
  </si>
  <si>
    <t>com. Pohrebeni</t>
  </si>
  <si>
    <t>6433000</t>
  </si>
  <si>
    <t>com. Puţintei</t>
  </si>
  <si>
    <t>6434000</t>
  </si>
  <si>
    <t>6436000</t>
  </si>
  <si>
    <t>com. Step-Soci</t>
  </si>
  <si>
    <t>6437000</t>
  </si>
  <si>
    <t>com. Trebujeni</t>
  </si>
  <si>
    <t>6440000</t>
  </si>
  <si>
    <t>com. Vatici</t>
  </si>
  <si>
    <t>6441000</t>
  </si>
  <si>
    <t>com. Zorile</t>
  </si>
  <si>
    <t>6444000</t>
  </si>
  <si>
    <t>Isacova</t>
  </si>
  <si>
    <t>6422000</t>
  </si>
  <si>
    <t>Mitoc</t>
  </si>
  <si>
    <t>6426000</t>
  </si>
  <si>
    <t>Neculăieuca</t>
  </si>
  <si>
    <t>6428000</t>
  </si>
  <si>
    <t>6401000</t>
  </si>
  <si>
    <t>Peresecina</t>
  </si>
  <si>
    <t>6430000</t>
  </si>
  <si>
    <t>Podgoreni</t>
  </si>
  <si>
    <t>6432000</t>
  </si>
  <si>
    <t>Pohorniceni</t>
  </si>
  <si>
    <t>6432100</t>
  </si>
  <si>
    <t>Sămănanca</t>
  </si>
  <si>
    <t>6435000</t>
  </si>
  <si>
    <t>Susleni</t>
  </si>
  <si>
    <t>6438000</t>
  </si>
  <si>
    <t>Teleşeu</t>
  </si>
  <si>
    <t>6439000</t>
  </si>
  <si>
    <t>Vîşcăuţi</t>
  </si>
  <si>
    <t>6442000</t>
  </si>
  <si>
    <t>Zahoreni</t>
  </si>
  <si>
    <t>6443000</t>
  </si>
  <si>
    <t>Raionul Rezina</t>
  </si>
  <si>
    <t>Buşăuca</t>
  </si>
  <si>
    <t>6710000</t>
  </si>
  <si>
    <t>Cinişeuţi</t>
  </si>
  <si>
    <t>6711000</t>
  </si>
  <si>
    <t>Cogîlniceni</t>
  </si>
  <si>
    <t>6712000</t>
  </si>
  <si>
    <t>com. Ghiduleni</t>
  </si>
  <si>
    <t>6715000</t>
  </si>
  <si>
    <t>com. Horodişte</t>
  </si>
  <si>
    <t>6717000</t>
  </si>
  <si>
    <t>com. Lalova</t>
  </si>
  <si>
    <t>6719000</t>
  </si>
  <si>
    <t>com. Mincenii de Jos</t>
  </si>
  <si>
    <t>6723000</t>
  </si>
  <si>
    <t>com. Pereni</t>
  </si>
  <si>
    <t>6726100</t>
  </si>
  <si>
    <t>com. Pripiceni-Răzeşi</t>
  </si>
  <si>
    <t>6727000</t>
  </si>
  <si>
    <t>com. Saharna Nouă</t>
  </si>
  <si>
    <t>6728000</t>
  </si>
  <si>
    <t>com. Sîrcova</t>
  </si>
  <si>
    <t>6729000</t>
  </si>
  <si>
    <t>com. Solonceni</t>
  </si>
  <si>
    <t>6730000</t>
  </si>
  <si>
    <t>com. Ţareuca</t>
  </si>
  <si>
    <t>6732000</t>
  </si>
  <si>
    <t>Cuizăuca</t>
  </si>
  <si>
    <t>6713000</t>
  </si>
  <si>
    <t>Echimăuţi</t>
  </si>
  <si>
    <t>6714000</t>
  </si>
  <si>
    <t>6716000</t>
  </si>
  <si>
    <t>Ignăţei</t>
  </si>
  <si>
    <t>6718000</t>
  </si>
  <si>
    <t>Lipceni</t>
  </si>
  <si>
    <t>6720000</t>
  </si>
  <si>
    <t>Mateuţi</t>
  </si>
  <si>
    <t>6721000</t>
  </si>
  <si>
    <t>Meşeni</t>
  </si>
  <si>
    <t>6722000</t>
  </si>
  <si>
    <t>or. Rezina</t>
  </si>
  <si>
    <t>6701000</t>
  </si>
  <si>
    <t>Otac</t>
  </si>
  <si>
    <t>6724000</t>
  </si>
  <si>
    <t>Păpăuţi</t>
  </si>
  <si>
    <t>6725000</t>
  </si>
  <si>
    <t>Pecişte</t>
  </si>
  <si>
    <t>6726000</t>
  </si>
  <si>
    <t>Trifeşti</t>
  </si>
  <si>
    <t>6731000</t>
  </si>
  <si>
    <t>Chirianca</t>
  </si>
  <si>
    <t>8011000</t>
  </si>
  <si>
    <t>com. Codreanca</t>
  </si>
  <si>
    <t>8012000</t>
  </si>
  <si>
    <t>com. Grebleşti</t>
  </si>
  <si>
    <t>8017000</t>
  </si>
  <si>
    <t>com. Rădeni</t>
  </si>
  <si>
    <t>8024000</t>
  </si>
  <si>
    <t>Oneşti</t>
  </si>
  <si>
    <t>8022000</t>
  </si>
  <si>
    <t>Raionul Strășeni</t>
  </si>
  <si>
    <t>Romăneşti</t>
  </si>
  <si>
    <t>8026000</t>
  </si>
  <si>
    <t>Ţigăneşti</t>
  </si>
  <si>
    <t>8031000</t>
  </si>
  <si>
    <t>Voinova</t>
  </si>
  <si>
    <t>8032000</t>
  </si>
  <si>
    <t>Zubreşti</t>
  </si>
  <si>
    <t>8034000</t>
  </si>
  <si>
    <t>com. Alcedar</t>
  </si>
  <si>
    <t>8310000</t>
  </si>
  <si>
    <t>Cuşmirca</t>
  </si>
  <si>
    <t>8315000</t>
  </si>
  <si>
    <t>Fuzăuca</t>
  </si>
  <si>
    <t>8317000</t>
  </si>
  <si>
    <t>Găuzeni</t>
  </si>
  <si>
    <t>8318000</t>
  </si>
  <si>
    <t>8319000</t>
  </si>
  <si>
    <t>Mihuleni</t>
  </si>
  <si>
    <t>8320000</t>
  </si>
  <si>
    <t>Olişcani</t>
  </si>
  <si>
    <t>8321000</t>
  </si>
  <si>
    <t>or. Şoldăneşti</t>
  </si>
  <si>
    <t>8301000</t>
  </si>
  <si>
    <t>Parcani</t>
  </si>
  <si>
    <t>8322000</t>
  </si>
  <si>
    <t>Poiana</t>
  </si>
  <si>
    <t>8324000</t>
  </si>
  <si>
    <t>Răspopeni</t>
  </si>
  <si>
    <t>8325000</t>
  </si>
  <si>
    <t>Sămăşcani</t>
  </si>
  <si>
    <t>8328000</t>
  </si>
  <si>
    <t>Şestaci</t>
  </si>
  <si>
    <t>8329000</t>
  </si>
  <si>
    <t>Şipca</t>
  </si>
  <si>
    <t>8330000</t>
  </si>
  <si>
    <t>Bogzeşti</t>
  </si>
  <si>
    <t>8911000</t>
  </si>
  <si>
    <t>Budăi</t>
  </si>
  <si>
    <t>8913000</t>
  </si>
  <si>
    <t>Chiştelniţa</t>
  </si>
  <si>
    <t>8915000</t>
  </si>
  <si>
    <t>Ciulucani</t>
  </si>
  <si>
    <t>8916100</t>
  </si>
  <si>
    <t>Codrul Nou</t>
  </si>
  <si>
    <t>8918000</t>
  </si>
  <si>
    <t>com. Băneşti</t>
  </si>
  <si>
    <t>8910000</t>
  </si>
  <si>
    <t>com. Brînzenii Noi</t>
  </si>
  <si>
    <t>8912000</t>
  </si>
  <si>
    <t>com. Căzăneşti</t>
  </si>
  <si>
    <t>8914000</t>
  </si>
  <si>
    <t>com. Chiţcanii Vechi</t>
  </si>
  <si>
    <t>8916000</t>
  </si>
  <si>
    <t>com. Negureni</t>
  </si>
  <si>
    <t>8926000</t>
  </si>
  <si>
    <t>com. Pistruieni</t>
  </si>
  <si>
    <t>8929000</t>
  </si>
  <si>
    <t>com. Ratuş</t>
  </si>
  <si>
    <t>8930000</t>
  </si>
  <si>
    <t>com. Sărătenii Vechi</t>
  </si>
  <si>
    <t>8931000</t>
  </si>
  <si>
    <t>com. Suhuluceni</t>
  </si>
  <si>
    <t>8933000</t>
  </si>
  <si>
    <t>com. Tîrşiţei</t>
  </si>
  <si>
    <t>8934000</t>
  </si>
  <si>
    <t>Coropceni</t>
  </si>
  <si>
    <t>8919000</t>
  </si>
  <si>
    <t>Crăsnăşeni</t>
  </si>
  <si>
    <t>8920000</t>
  </si>
  <si>
    <t>Ineşti</t>
  </si>
  <si>
    <t>8923000</t>
  </si>
  <si>
    <t>Leuşeni</t>
  </si>
  <si>
    <t>8924000</t>
  </si>
  <si>
    <t>Nucăreni</t>
  </si>
  <si>
    <t>8927000</t>
  </si>
  <si>
    <t>8901000</t>
  </si>
  <si>
    <t>Ordăşei</t>
  </si>
  <si>
    <t>8928000</t>
  </si>
  <si>
    <t>Scorţeni</t>
  </si>
  <si>
    <t>8932000</t>
  </si>
  <si>
    <t>Ţînţăreni</t>
  </si>
  <si>
    <t>8935000</t>
  </si>
  <si>
    <t>8936000</t>
  </si>
  <si>
    <t>Verejeni</t>
  </si>
  <si>
    <t>8937000</t>
  </si>
  <si>
    <t>RBR06 · Cahul–South-West</t>
  </si>
  <si>
    <t>Raionul Cahul</t>
  </si>
  <si>
    <t>Alexanderfeld*</t>
  </si>
  <si>
    <t>1710000</t>
  </si>
  <si>
    <t>RBM20</t>
  </si>
  <si>
    <t>or. Vulcăneşti</t>
  </si>
  <si>
    <t>Alexandru Ioan Cuza</t>
  </si>
  <si>
    <t>1711000</t>
  </si>
  <si>
    <t>Andruşul de Jos</t>
  </si>
  <si>
    <t>1712000</t>
  </si>
  <si>
    <t>RBM04</t>
  </si>
  <si>
    <t>or. Cahul</t>
  </si>
  <si>
    <t>Andruşul de Sus</t>
  </si>
  <si>
    <t>1713000</t>
  </si>
  <si>
    <t>Badicul Moldovenesc</t>
  </si>
  <si>
    <t>1714000</t>
  </si>
  <si>
    <t>Baurci-Moldoveni</t>
  </si>
  <si>
    <t>1715000</t>
  </si>
  <si>
    <t>Brînza</t>
  </si>
  <si>
    <t>1715200</t>
  </si>
  <si>
    <t>Bucuria</t>
  </si>
  <si>
    <t>1716000</t>
  </si>
  <si>
    <t>Cîşliţa-Prut</t>
  </si>
  <si>
    <t>1721000</t>
  </si>
  <si>
    <t>Colibaşi</t>
  </si>
  <si>
    <t>1722000</t>
  </si>
  <si>
    <t>com. Burlacu</t>
  </si>
  <si>
    <t>1717000</t>
  </si>
  <si>
    <t>com. Burlăceni</t>
  </si>
  <si>
    <t>1718000</t>
  </si>
  <si>
    <t>com. Cucoara</t>
  </si>
  <si>
    <t>1724000</t>
  </si>
  <si>
    <t>RBM34</t>
  </si>
  <si>
    <t>or. Cantemir</t>
  </si>
  <si>
    <t>com. Doina</t>
  </si>
  <si>
    <t>1725000</t>
  </si>
  <si>
    <t>com. Găvănoasa</t>
  </si>
  <si>
    <t>1726000</t>
  </si>
  <si>
    <t>com. Larga Nouă</t>
  </si>
  <si>
    <t>1730000</t>
  </si>
  <si>
    <t>com. Lebedenco</t>
  </si>
  <si>
    <t>1731000</t>
  </si>
  <si>
    <t>com. Manta</t>
  </si>
  <si>
    <t>1734000</t>
  </si>
  <si>
    <t>com. Moscovei</t>
  </si>
  <si>
    <t>1735000</t>
  </si>
  <si>
    <t>com. Pelinei</t>
  </si>
  <si>
    <t>1736000</t>
  </si>
  <si>
    <t>com. Tartaul de Salcie</t>
  </si>
  <si>
    <t>1740000</t>
  </si>
  <si>
    <t>com. Zîrneşti</t>
  </si>
  <si>
    <t>1744000</t>
  </si>
  <si>
    <t>Crihana Veche</t>
  </si>
  <si>
    <t>1723000</t>
  </si>
  <si>
    <t>Giurgiuleşti</t>
  </si>
  <si>
    <t>1727000</t>
  </si>
  <si>
    <t>Huluboaia</t>
  </si>
  <si>
    <t>1728000</t>
  </si>
  <si>
    <t>Iujnoe</t>
  </si>
  <si>
    <t>1729000</t>
  </si>
  <si>
    <t>Lopăţica</t>
  </si>
  <si>
    <t>1732000</t>
  </si>
  <si>
    <t>Luceşti</t>
  </si>
  <si>
    <t>1733000</t>
  </si>
  <si>
    <t>1701000</t>
  </si>
  <si>
    <t>Roşu</t>
  </si>
  <si>
    <t>1737000</t>
  </si>
  <si>
    <t>Slobozia Mare</t>
  </si>
  <si>
    <t>1738000</t>
  </si>
  <si>
    <t>Taraclia de Salcie</t>
  </si>
  <si>
    <t>1739000</t>
  </si>
  <si>
    <t>1741000</t>
  </si>
  <si>
    <t>Vadul lui Isac</t>
  </si>
  <si>
    <t>1742000</t>
  </si>
  <si>
    <t>Văleni</t>
  </si>
  <si>
    <t>1743000</t>
  </si>
  <si>
    <t>Raionul Cantemir</t>
  </si>
  <si>
    <t>com. Antoneşti</t>
  </si>
  <si>
    <t>2110000</t>
  </si>
  <si>
    <t>2111000</t>
  </si>
  <si>
    <t>com. Chioselia</t>
  </si>
  <si>
    <t>2114000</t>
  </si>
  <si>
    <t>com. Ciobalaccia</t>
  </si>
  <si>
    <t>2115000</t>
  </si>
  <si>
    <t>com. Cîşla</t>
  </si>
  <si>
    <t>2118000</t>
  </si>
  <si>
    <t>com. Goteşti</t>
  </si>
  <si>
    <t>2123000</t>
  </si>
  <si>
    <t>com. Lingura</t>
  </si>
  <si>
    <t>2126000</t>
  </si>
  <si>
    <t>com. Toceni</t>
  </si>
  <si>
    <t>2134000</t>
  </si>
  <si>
    <t>com. Ţiganca</t>
  </si>
  <si>
    <t>2135000</t>
  </si>
  <si>
    <t>Coştangalia</t>
  </si>
  <si>
    <t>2120000</t>
  </si>
  <si>
    <t>2101000</t>
  </si>
  <si>
    <t>Stoianovca</t>
  </si>
  <si>
    <t>2131000</t>
  </si>
  <si>
    <t>Tartaul</t>
  </si>
  <si>
    <t>2133000</t>
  </si>
  <si>
    <t>Raionul Taraclia</t>
  </si>
  <si>
    <t>Aluatu</t>
  </si>
  <si>
    <t>8712000</t>
  </si>
  <si>
    <t>RBM16</t>
  </si>
  <si>
    <t>or. Taraclia</t>
  </si>
  <si>
    <t>Balabanu</t>
  </si>
  <si>
    <t>8713000</t>
  </si>
  <si>
    <t>Cairaclia</t>
  </si>
  <si>
    <t>8716000</t>
  </si>
  <si>
    <t>com. Albota de Jos</t>
  </si>
  <si>
    <t>8710000</t>
  </si>
  <si>
    <t>com. Albota de Sus</t>
  </si>
  <si>
    <t>8711000</t>
  </si>
  <si>
    <t>com. Budăi</t>
  </si>
  <si>
    <t>8715000</t>
  </si>
  <si>
    <t>8720100</t>
  </si>
  <si>
    <t>com. Vinogradovca</t>
  </si>
  <si>
    <t>8723000</t>
  </si>
  <si>
    <t>Musaitu</t>
  </si>
  <si>
    <t>8719000</t>
  </si>
  <si>
    <t>Novosiolovca</t>
  </si>
  <si>
    <t>8720000</t>
  </si>
  <si>
    <t>8701000</t>
  </si>
  <si>
    <t>Unitatea Teritorială Autonomă Găgăuzia</t>
  </si>
  <si>
    <t>Carbalia</t>
  </si>
  <si>
    <t>9615000</t>
  </si>
  <si>
    <t>Cazaclia</t>
  </si>
  <si>
    <t>9616000</t>
  </si>
  <si>
    <t>Cişmichioi</t>
  </si>
  <si>
    <t>9620000</t>
  </si>
  <si>
    <t>com. Etulia</t>
  </si>
  <si>
    <t>9627000</t>
  </si>
  <si>
    <t>9624000</t>
  </si>
  <si>
    <t>9603000</t>
  </si>
  <si>
    <t>RBR07 · Comrat–South-East</t>
  </si>
  <si>
    <t>Raionul Basarabeasca</t>
  </si>
  <si>
    <t>Abaclia</t>
  </si>
  <si>
    <t>1210000</t>
  </si>
  <si>
    <t>RBM21</t>
  </si>
  <si>
    <t>or. Basarabeasca</t>
  </si>
  <si>
    <t>Başcalia</t>
  </si>
  <si>
    <t>1211000</t>
  </si>
  <si>
    <t>RBM05</t>
  </si>
  <si>
    <t>or. Comrat</t>
  </si>
  <si>
    <t>Carabetovca</t>
  </si>
  <si>
    <t>1212000</t>
  </si>
  <si>
    <t>com. Iserlia</t>
  </si>
  <si>
    <t>1214000</t>
  </si>
  <si>
    <t>RBM17</t>
  </si>
  <si>
    <t>or. Cimişlia</t>
  </si>
  <si>
    <t>Iordanovca</t>
  </si>
  <si>
    <t>1213000</t>
  </si>
  <si>
    <t>1201000</t>
  </si>
  <si>
    <t>Sadaclia</t>
  </si>
  <si>
    <t>1215000</t>
  </si>
  <si>
    <t>Borceag</t>
  </si>
  <si>
    <t>1715100</t>
  </si>
  <si>
    <t>RBM31</t>
  </si>
  <si>
    <t>Congaz</t>
  </si>
  <si>
    <t>com. Chioselia Mare</t>
  </si>
  <si>
    <t>1720000</t>
  </si>
  <si>
    <t>Capaclia</t>
  </si>
  <si>
    <t>2113000</t>
  </si>
  <si>
    <t>Cîrpeşti</t>
  </si>
  <si>
    <t>2117000</t>
  </si>
  <si>
    <t>Cociulia</t>
  </si>
  <si>
    <t>2119000</t>
  </si>
  <si>
    <t>com. Cania</t>
  </si>
  <si>
    <t>2112000</t>
  </si>
  <si>
    <t>com. Cîietu</t>
  </si>
  <si>
    <t>2116000</t>
  </si>
  <si>
    <t>com. Enichioi</t>
  </si>
  <si>
    <t>2122000</t>
  </si>
  <si>
    <t>com. Pleşeni</t>
  </si>
  <si>
    <t>2127000</t>
  </si>
  <si>
    <t>com. Plopi</t>
  </si>
  <si>
    <t>2128000</t>
  </si>
  <si>
    <t>com. Sadîc</t>
  </si>
  <si>
    <t>2130000</t>
  </si>
  <si>
    <t>Haragîş</t>
  </si>
  <si>
    <t>2124000</t>
  </si>
  <si>
    <t>Lărguţa</t>
  </si>
  <si>
    <t>2125000</t>
  </si>
  <si>
    <t>Porumbeşti</t>
  </si>
  <si>
    <t>2129000</t>
  </si>
  <si>
    <t>Şamalia</t>
  </si>
  <si>
    <t>2132000</t>
  </si>
  <si>
    <t>Vişniovca</t>
  </si>
  <si>
    <t>2136000</t>
  </si>
  <si>
    <t>Ciufleşti</t>
  </si>
  <si>
    <t>2715000</t>
  </si>
  <si>
    <t>com. Ucrainca</t>
  </si>
  <si>
    <t>2735000</t>
  </si>
  <si>
    <t>com. Zaim</t>
  </si>
  <si>
    <t>2737000</t>
  </si>
  <si>
    <t>Opaci</t>
  </si>
  <si>
    <t>2726000</t>
  </si>
  <si>
    <t>Sălcuţa</t>
  </si>
  <si>
    <t>2730000</t>
  </si>
  <si>
    <t>Taraclia</t>
  </si>
  <si>
    <t>2731000</t>
  </si>
  <si>
    <t>Tocuz</t>
  </si>
  <si>
    <t>2734000</t>
  </si>
  <si>
    <t>Batîr</t>
  </si>
  <si>
    <t>2911000</t>
  </si>
  <si>
    <t>Cenac</t>
  </si>
  <si>
    <t>2912000</t>
  </si>
  <si>
    <t>Ciucur-Mingir</t>
  </si>
  <si>
    <t>2913000</t>
  </si>
  <si>
    <t>com. Ecaterinovca</t>
  </si>
  <si>
    <t>2915000</t>
  </si>
  <si>
    <t>com. Gradişte</t>
  </si>
  <si>
    <t>2916000</t>
  </si>
  <si>
    <t>com. Hîrtop</t>
  </si>
  <si>
    <t>2918000</t>
  </si>
  <si>
    <t>com. Ialpujeni</t>
  </si>
  <si>
    <t>2919000</t>
  </si>
  <si>
    <t>com. Javgur</t>
  </si>
  <si>
    <t>2921000</t>
  </si>
  <si>
    <t>Mihailovca</t>
  </si>
  <si>
    <t>2923000</t>
  </si>
  <si>
    <t>2901000</t>
  </si>
  <si>
    <t>Sagaidac</t>
  </si>
  <si>
    <t>2925000</t>
  </si>
  <si>
    <t>Satul Nou</t>
  </si>
  <si>
    <t>2926000</t>
  </si>
  <si>
    <t>Selemet</t>
  </si>
  <si>
    <t>2927000</t>
  </si>
  <si>
    <t>Suric</t>
  </si>
  <si>
    <t>2928000</t>
  </si>
  <si>
    <t>Topala</t>
  </si>
  <si>
    <t>2929000</t>
  </si>
  <si>
    <t>Troiţcoe</t>
  </si>
  <si>
    <t>2930000</t>
  </si>
  <si>
    <t>Valea Perjei</t>
  </si>
  <si>
    <t>2931000</t>
  </si>
  <si>
    <t>Cioara</t>
  </si>
  <si>
    <t>5320000</t>
  </si>
  <si>
    <t>com. Mingir</t>
  </si>
  <si>
    <t>5333000</t>
  </si>
  <si>
    <t>com. Pogăneşti</t>
  </si>
  <si>
    <t>5341000</t>
  </si>
  <si>
    <t>Voinescu</t>
  </si>
  <si>
    <t>5347000</t>
  </si>
  <si>
    <t>Borogani</t>
  </si>
  <si>
    <t>5712000</t>
  </si>
  <si>
    <t>Ceadîr</t>
  </si>
  <si>
    <t>5714000</t>
  </si>
  <si>
    <t>Colibabovca</t>
  </si>
  <si>
    <t>5716000</t>
  </si>
  <si>
    <t>com. Băiuş</t>
  </si>
  <si>
    <t>5710000</t>
  </si>
  <si>
    <t>com. Beştemac</t>
  </si>
  <si>
    <t>5711000</t>
  </si>
  <si>
    <t>com. Cazangic</t>
  </si>
  <si>
    <t>5713000</t>
  </si>
  <si>
    <t>com. Hănăsenii Noi</t>
  </si>
  <si>
    <t>5720000</t>
  </si>
  <si>
    <t>com. Sărata Nouă</t>
  </si>
  <si>
    <t>5723000</t>
  </si>
  <si>
    <t>com. Sărăteni</t>
  </si>
  <si>
    <t>5725000</t>
  </si>
  <si>
    <t>com. Sărăţica Nouă</t>
  </si>
  <si>
    <t>5726000</t>
  </si>
  <si>
    <t>com. Tigheci</t>
  </si>
  <si>
    <t>5728000</t>
  </si>
  <si>
    <t>com. Tomaiul Nou</t>
  </si>
  <si>
    <t>5731000</t>
  </si>
  <si>
    <t>com. Vozneseni</t>
  </si>
  <si>
    <t>5732000</t>
  </si>
  <si>
    <t>Covurlui</t>
  </si>
  <si>
    <t>5717000</t>
  </si>
  <si>
    <t>Cupcui</t>
  </si>
  <si>
    <t>5718000</t>
  </si>
  <si>
    <t>Filipeni</t>
  </si>
  <si>
    <t>5719000</t>
  </si>
  <si>
    <t>or. Iargara</t>
  </si>
  <si>
    <t>5702000</t>
  </si>
  <si>
    <t>5701000</t>
  </si>
  <si>
    <t>Orac</t>
  </si>
  <si>
    <t>5721000</t>
  </si>
  <si>
    <t>Romanovca</t>
  </si>
  <si>
    <t>5722000</t>
  </si>
  <si>
    <t>Tomai</t>
  </si>
  <si>
    <t>5730000</t>
  </si>
  <si>
    <t>com. Cealîc</t>
  </si>
  <si>
    <t>8717000</t>
  </si>
  <si>
    <t>Corten</t>
  </si>
  <si>
    <t>8718000</t>
  </si>
  <si>
    <t>RBM15</t>
  </si>
  <si>
    <t>or. Ceadîr-Lunga</t>
  </si>
  <si>
    <t>or. Tvardiţa</t>
  </si>
  <si>
    <t>8702000</t>
  </si>
  <si>
    <t>8722000</t>
  </si>
  <si>
    <t>Avdarma</t>
  </si>
  <si>
    <t>9610000</t>
  </si>
  <si>
    <t>Baurci</t>
  </si>
  <si>
    <t>9611000</t>
  </si>
  <si>
    <t>Beşalma</t>
  </si>
  <si>
    <t>9612000</t>
  </si>
  <si>
    <t>Beşghioz</t>
  </si>
  <si>
    <t>9613000</t>
  </si>
  <si>
    <t>Bugeac</t>
  </si>
  <si>
    <t>9614000</t>
  </si>
  <si>
    <t>Chioselia Rusă</t>
  </si>
  <si>
    <t>9616100</t>
  </si>
  <si>
    <t>Chiriet-Lunga</t>
  </si>
  <si>
    <t>9617000</t>
  </si>
  <si>
    <t>Chirsova</t>
  </si>
  <si>
    <t>9618000</t>
  </si>
  <si>
    <t>Cioc-Maidan</t>
  </si>
  <si>
    <t>9619000</t>
  </si>
  <si>
    <t>com. Congazcicul de Sus</t>
  </si>
  <si>
    <t>9623000</t>
  </si>
  <si>
    <t>com. Svetlîi</t>
  </si>
  <si>
    <t>9631000</t>
  </si>
  <si>
    <t>9622000</t>
  </si>
  <si>
    <t>Cotovscoe</t>
  </si>
  <si>
    <t>9625000</t>
  </si>
  <si>
    <t>Dezghingea</t>
  </si>
  <si>
    <t>9626000</t>
  </si>
  <si>
    <t>Ferapontievca</t>
  </si>
  <si>
    <t>9628000</t>
  </si>
  <si>
    <t>Gaidar</t>
  </si>
  <si>
    <t>9629000</t>
  </si>
  <si>
    <t>Joltai</t>
  </si>
  <si>
    <t>9630000</t>
  </si>
  <si>
    <t>9602000</t>
  </si>
  <si>
    <t>9601000</t>
  </si>
  <si>
    <t>9632000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</si>
</sst>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6"/>
      <color rgb="FFFFFFFF"/>
      <name val="Calibri"/>
      <family val="2"/>
    </font>
    <font>
      <i/>
      <sz val="10"/>
      <color rgb="FF1F2937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1F2937"/>
      <name val="Calibri"/>
      <family val="2"/>
    </font>
    <font>
      <b/>
      <sz val="11"/>
      <color rgb="FF1F4E78"/>
      <name val="Calibri"/>
      <family val="2"/>
    </font>
    <font>
      <i/>
      <sz val="9"/>
      <color rgb="FF64748B"/>
      <name val="Calibri"/>
      <family val="2"/>
    </font>
    <font>
      <b/>
      <sz val="10"/>
      <color rgb="FFFFFFFF"/>
      <name val="Carlito"/>
    </font>
    <font>
      <sz val="10"/>
      <color rgb="FF1F293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E75B6"/>
      </patternFill>
    </fill>
    <fill>
      <patternFill patternType="solid">
        <fgColor rgb="FFF4F7FA"/>
      </patternFill>
    </fill>
  </fills>
  <borders count="8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2E75B6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/>
    <xf numFmtId="0" fontId="6" fillId="4" borderId="0" xfId="0" applyFont="1" applyFill="1" applyAlignment="1">
      <alignment wrapText="1"/>
    </xf>
    <xf numFmtId="0" fontId="7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0" fontId="7" fillId="0" borderId="2" xfId="0" applyFont="1" applyBorder="1"/>
    <xf numFmtId="3" fontId="7" fillId="0" borderId="2" xfId="0" applyNumberFormat="1" applyFont="1" applyBorder="1"/>
    <xf numFmtId="164" fontId="7" fillId="0" borderId="2" xfId="0" applyNumberFormat="1" applyFont="1" applyBorder="1"/>
    <xf numFmtId="0" fontId="7" fillId="0" borderId="3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3" fontId="8" fillId="3" borderId="4" xfId="0" applyNumberFormat="1" applyFont="1" applyFill="1" applyBorder="1"/>
    <xf numFmtId="164" fontId="8" fillId="3" borderId="4" xfId="0" applyNumberFormat="1" applyFont="1" applyFill="1" applyBorder="1"/>
    <xf numFmtId="0" fontId="10" fillId="4" borderId="0" xfId="0" applyFont="1" applyFill="1" applyAlignment="1">
      <alignment vertical="center" wrapText="1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8" fillId="3" borderId="4" xfId="0" applyFont="1" applyFill="1" applyBorder="1"/>
    <xf numFmtId="0" fontId="6" fillId="2" borderId="0" xfId="0" applyFont="1" applyFill="1"/>
    <xf numFmtId="0" fontId="7" fillId="5" borderId="0" xfId="0" applyFont="1" applyFill="1" applyAlignment="1">
      <alignment vertical="top" wrapText="1"/>
    </xf>
    <xf numFmtId="0" fontId="9" fillId="0" borderId="0" xfId="0" applyFon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BR01" displayName="Table_RBR01" ref="A4:J213" totalsRowShown="0">
  <tableColumns count="10">
    <tableColumn id="1" xr3:uid="{00000000-0010-0000-0000-000001000000}" name="No."/>
    <tableColumn id="2" xr3:uid="{00000000-0010-0000-0000-000002000000}" name="District / municipality"/>
    <tableColumn id="3" xr3:uid="{00000000-0010-0000-0000-000003000000}" name="Territorial unit"/>
    <tableColumn id="4" xr3:uid="{00000000-0010-0000-0000-000004000000}" name="CUATM"/>
    <tableColumn id="5" xr3:uid="{00000000-0010-0000-0000-000005000000}" name="Population 2024"/>
    <tableColumn id="6" xr3:uid="{00000000-0010-0000-0000-000006000000}" name="Micro-region ID"/>
    <tableColumn id="7" xr3:uid="{00000000-0010-0000-0000-000007000000}" name="Micro-region centre"/>
    <tableColumn id="8" xr3:uid="{00000000-0010-0000-0000-000008000000}" name="Travel time to regional anchor (min)"/>
    <tableColumn id="9" xr3:uid="{00000000-0010-0000-0000-000009000000}" name="Route distance to regional anchor (km)"/>
    <tableColumn id="10" xr3:uid="{00000000-0010-0000-0000-00000A000000}" name="Route calcul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BR02" displayName="Table_RBR02" ref="A4:J210" totalsRowShown="0">
  <tableColumns count="10">
    <tableColumn id="1" xr3:uid="{00000000-0010-0000-0100-000001000000}" name="No."/>
    <tableColumn id="2" xr3:uid="{00000000-0010-0000-0100-000002000000}" name="District / municipality"/>
    <tableColumn id="3" xr3:uid="{00000000-0010-0000-0100-000003000000}" name="Territorial unit"/>
    <tableColumn id="4" xr3:uid="{00000000-0010-0000-0100-000004000000}" name="CUATM"/>
    <tableColumn id="5" xr3:uid="{00000000-0010-0000-0100-000005000000}" name="Population 2024"/>
    <tableColumn id="6" xr3:uid="{00000000-0010-0000-0100-000006000000}" name="Micro-region ID"/>
    <tableColumn id="7" xr3:uid="{00000000-0010-0000-0100-000007000000}" name="Micro-region centre"/>
    <tableColumn id="8" xr3:uid="{00000000-0010-0000-0100-000008000000}" name="Travel time to regional anchor (min)"/>
    <tableColumn id="9" xr3:uid="{00000000-0010-0000-0100-000009000000}" name="Route distance to regional anchor (km)"/>
    <tableColumn id="10" xr3:uid="{00000000-0010-0000-0100-00000A000000}" name="Route calcul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RBR03" displayName="Table_RBR03" ref="A4:J69" totalsRowShown="0">
  <tableColumns count="10">
    <tableColumn id="1" xr3:uid="{00000000-0010-0000-0200-000001000000}" name="No."/>
    <tableColumn id="2" xr3:uid="{00000000-0010-0000-0200-000002000000}" name="District / municipality"/>
    <tableColumn id="3" xr3:uid="{00000000-0010-0000-0200-000003000000}" name="Territorial unit"/>
    <tableColumn id="4" xr3:uid="{00000000-0010-0000-0200-000004000000}" name="CUATM"/>
    <tableColumn id="5" xr3:uid="{00000000-0010-0000-0200-000005000000}" name="Population 2024"/>
    <tableColumn id="6" xr3:uid="{00000000-0010-0000-0200-000006000000}" name="Micro-region ID"/>
    <tableColumn id="7" xr3:uid="{00000000-0010-0000-0200-000007000000}" name="Micro-region centre"/>
    <tableColumn id="8" xr3:uid="{00000000-0010-0000-0200-000008000000}" name="Travel time to regional anchor (min)"/>
    <tableColumn id="9" xr3:uid="{00000000-0010-0000-0200-000009000000}" name="Route distance to regional anchor (km)"/>
    <tableColumn id="10" xr3:uid="{00000000-0010-0000-0200-00000A000000}" name="Route calcul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RBR04" displayName="Table_RBR04" ref="A4:J127" totalsRowShown="0">
  <tableColumns count="10">
    <tableColumn id="1" xr3:uid="{00000000-0010-0000-0300-000001000000}" name="No."/>
    <tableColumn id="2" xr3:uid="{00000000-0010-0000-0300-000002000000}" name="District / municipality"/>
    <tableColumn id="3" xr3:uid="{00000000-0010-0000-0300-000003000000}" name="Territorial unit"/>
    <tableColumn id="4" xr3:uid="{00000000-0010-0000-0300-000004000000}" name="CUATM"/>
    <tableColumn id="5" xr3:uid="{00000000-0010-0000-0300-000005000000}" name="Population 2024"/>
    <tableColumn id="6" xr3:uid="{00000000-0010-0000-0300-000006000000}" name="Micro-region ID"/>
    <tableColumn id="7" xr3:uid="{00000000-0010-0000-0300-000007000000}" name="Micro-region centre"/>
    <tableColumn id="8" xr3:uid="{00000000-0010-0000-0300-000008000000}" name="Travel time to regional anchor (min)"/>
    <tableColumn id="9" xr3:uid="{00000000-0010-0000-0300-000009000000}" name="Route distance to regional anchor (km)"/>
    <tableColumn id="10" xr3:uid="{00000000-0010-0000-0300-00000A000000}" name="Route calcul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RBR05" displayName="Table_RBR05" ref="A4:J144" totalsRowShown="0">
  <tableColumns count="10">
    <tableColumn id="1" xr3:uid="{00000000-0010-0000-0400-000001000000}" name="No."/>
    <tableColumn id="2" xr3:uid="{00000000-0010-0000-0400-000002000000}" name="District / municipality"/>
    <tableColumn id="3" xr3:uid="{00000000-0010-0000-0400-000003000000}" name="Territorial unit"/>
    <tableColumn id="4" xr3:uid="{00000000-0010-0000-0400-000004000000}" name="CUATM"/>
    <tableColumn id="5" xr3:uid="{00000000-0010-0000-0400-000005000000}" name="Population 2024"/>
    <tableColumn id="6" xr3:uid="{00000000-0010-0000-0400-000006000000}" name="Micro-region ID"/>
    <tableColumn id="7" xr3:uid="{00000000-0010-0000-0400-000007000000}" name="Micro-region centre"/>
    <tableColumn id="8" xr3:uid="{00000000-0010-0000-0400-000008000000}" name="Travel time to regional anchor (min)"/>
    <tableColumn id="9" xr3:uid="{00000000-0010-0000-0400-000009000000}" name="Route distance to regional anchor (km)"/>
    <tableColumn id="10" xr3:uid="{00000000-0010-0000-0400-00000A000000}" name="Route calcul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RBR06" displayName="Table_RBR06" ref="A4:J69" totalsRowShown="0">
  <tableColumns count="10">
    <tableColumn id="1" xr3:uid="{00000000-0010-0000-0500-000001000000}" name="No."/>
    <tableColumn id="2" xr3:uid="{00000000-0010-0000-0500-000002000000}" name="District / municipality"/>
    <tableColumn id="3" xr3:uid="{00000000-0010-0000-0500-000003000000}" name="Territorial unit"/>
    <tableColumn id="4" xr3:uid="{00000000-0010-0000-0500-000004000000}" name="CUATM"/>
    <tableColumn id="5" xr3:uid="{00000000-0010-0000-0500-000005000000}" name="Population 2024"/>
    <tableColumn id="6" xr3:uid="{00000000-0010-0000-0500-000006000000}" name="Micro-region ID"/>
    <tableColumn id="7" xr3:uid="{00000000-0010-0000-0500-000007000000}" name="Micro-region centre"/>
    <tableColumn id="8" xr3:uid="{00000000-0010-0000-0500-000008000000}" name="Travel time to regional anchor (min)"/>
    <tableColumn id="9" xr3:uid="{00000000-0010-0000-0500-000009000000}" name="Route distance to regional anchor (km)"/>
    <tableColumn id="10" xr3:uid="{00000000-0010-0000-0500-00000A000000}" name="Route calcul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RBR07" displayName="Table_RBR07" ref="A4:J100" totalsRowShown="0">
  <tableColumns count="10">
    <tableColumn id="1" xr3:uid="{00000000-0010-0000-0600-000001000000}" name="No."/>
    <tableColumn id="2" xr3:uid="{00000000-0010-0000-0600-000002000000}" name="District / municipality"/>
    <tableColumn id="3" xr3:uid="{00000000-0010-0000-0600-000003000000}" name="Territorial unit"/>
    <tableColumn id="4" xr3:uid="{00000000-0010-0000-0600-000004000000}" name="CUATM"/>
    <tableColumn id="5" xr3:uid="{00000000-0010-0000-0600-000005000000}" name="Population 2024"/>
    <tableColumn id="6" xr3:uid="{00000000-0010-0000-0600-000006000000}" name="Micro-region ID"/>
    <tableColumn id="7" xr3:uid="{00000000-0010-0000-0600-000007000000}" name="Micro-region centre"/>
    <tableColumn id="8" xr3:uid="{00000000-0010-0000-0600-000008000000}" name="Travel time to regional anchor (min)"/>
    <tableColumn id="9" xr3:uid="{00000000-0010-0000-0600-000009000000}" name="Route distance to regional anchor (km)"/>
    <tableColumn id="10" xr3:uid="{00000000-0010-0000-0600-00000A000000}" name="Route calc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workbookViewId="0">
      <selection sqref="A1:J1"/>
    </sheetView>
  </sheetViews>
  <sheetFormatPr baseColWidth="10" defaultColWidth="8.83203125" defaultRowHeight="14"/>
  <cols>
    <col min="1" max="1" width="13" customWidth="1"/>
    <col min="2" max="2" width="27" customWidth="1"/>
    <col min="3" max="5" width="18" customWidth="1"/>
  </cols>
  <sheetData>
    <row r="1" spans="1:10" ht="30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2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1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1"/>
      <c r="G4" s="1"/>
      <c r="H4" s="1"/>
      <c r="I4" s="1"/>
      <c r="J4" s="1"/>
    </row>
    <row r="5" spans="1:10" ht="15">
      <c r="A5" s="3" t="s">
        <v>7</v>
      </c>
      <c r="B5" s="3" t="s">
        <v>8</v>
      </c>
      <c r="C5" s="4">
        <f>COUNTA('Chisinau-Centre'!$A$5:$A$213)</f>
        <v>209</v>
      </c>
      <c r="D5" s="4">
        <f>SUM('Chisinau-Centre'!$E$5:$E$213)</f>
        <v>1131229</v>
      </c>
      <c r="E5" s="5">
        <f t="shared" ref="E5:E11" si="0">D5/SUM($D$5:$D$11)</f>
        <v>0.47183809427677398</v>
      </c>
      <c r="F5" s="1"/>
      <c r="G5" s="1"/>
      <c r="H5" s="1"/>
      <c r="I5" s="1"/>
      <c r="J5" s="1"/>
    </row>
    <row r="6" spans="1:10" ht="15">
      <c r="A6" s="6" t="s">
        <v>9</v>
      </c>
      <c r="B6" s="6" t="s">
        <v>10</v>
      </c>
      <c r="C6" s="7">
        <f>COUNTA('Balti-North'!$A$5:$A$210)</f>
        <v>206</v>
      </c>
      <c r="D6" s="7">
        <f>SUM('Balti-North'!$E$5:$E$210)</f>
        <v>438210</v>
      </c>
      <c r="E6" s="8">
        <f t="shared" si="0"/>
        <v>0.18277835106156679</v>
      </c>
      <c r="F6" s="1"/>
      <c r="G6" s="1"/>
      <c r="H6" s="1"/>
      <c r="I6" s="1"/>
      <c r="J6" s="1"/>
    </row>
    <row r="7" spans="1:10" ht="15">
      <c r="A7" s="6" t="s">
        <v>11</v>
      </c>
      <c r="B7" s="6" t="s">
        <v>12</v>
      </c>
      <c r="C7" s="7">
        <f>COUNTA('Ungheni-West'!$A$5:$A$69)</f>
        <v>65</v>
      </c>
      <c r="D7" s="7">
        <f>SUM('Ungheni-West'!$E$5:$E$69)</f>
        <v>123392</v>
      </c>
      <c r="E7" s="8">
        <f t="shared" si="0"/>
        <v>5.1467073535950453E-2</v>
      </c>
      <c r="F7" s="1"/>
      <c r="G7" s="1"/>
      <c r="H7" s="1"/>
      <c r="I7" s="1"/>
      <c r="J7" s="1"/>
    </row>
    <row r="8" spans="1:10" ht="15">
      <c r="A8" s="6" t="s">
        <v>13</v>
      </c>
      <c r="B8" s="6" t="s">
        <v>14</v>
      </c>
      <c r="C8" s="7">
        <f>COUNTA('Soroca-NE'!$A$5:$A$127)</f>
        <v>123</v>
      </c>
      <c r="D8" s="7">
        <f>SUM('Soroca-NE'!$E$5:$E$127)</f>
        <v>173723</v>
      </c>
      <c r="E8" s="8">
        <f t="shared" si="0"/>
        <v>7.2460243904677132E-2</v>
      </c>
      <c r="F8" s="1"/>
      <c r="G8" s="1"/>
      <c r="H8" s="1"/>
      <c r="I8" s="1"/>
      <c r="J8" s="1"/>
    </row>
    <row r="9" spans="1:10" ht="15">
      <c r="A9" s="6" t="s">
        <v>15</v>
      </c>
      <c r="B9" s="6" t="s">
        <v>16</v>
      </c>
      <c r="C9" s="7">
        <f>COUNTA('Orhei-Centre-N'!$A$5:$A$144)</f>
        <v>140</v>
      </c>
      <c r="D9" s="7">
        <f>SUM('Orhei-Centre-N'!$E$5:$E$144)</f>
        <v>207100</v>
      </c>
      <c r="E9" s="8">
        <f t="shared" si="0"/>
        <v>8.6381863729377423E-2</v>
      </c>
      <c r="F9" s="1"/>
      <c r="G9" s="1"/>
      <c r="H9" s="1"/>
      <c r="I9" s="1"/>
      <c r="J9" s="1"/>
    </row>
    <row r="10" spans="1:10" ht="15">
      <c r="A10" s="6" t="s">
        <v>17</v>
      </c>
      <c r="B10" s="6" t="s">
        <v>18</v>
      </c>
      <c r="C10" s="7">
        <f>COUNTA('Cahul-SW'!$A$5:$A$69)</f>
        <v>65</v>
      </c>
      <c r="D10" s="7">
        <f>SUM('Cahul-SW'!$E$5:$E$69)</f>
        <v>132946</v>
      </c>
      <c r="E10" s="8">
        <f t="shared" si="0"/>
        <v>5.5452067867531679E-2</v>
      </c>
      <c r="F10" s="1"/>
      <c r="G10" s="1"/>
      <c r="H10" s="1"/>
      <c r="I10" s="1"/>
      <c r="J10" s="1"/>
    </row>
    <row r="11" spans="1:10" ht="15">
      <c r="A11" s="9" t="s">
        <v>19</v>
      </c>
      <c r="B11" s="9" t="s">
        <v>20</v>
      </c>
      <c r="C11" s="10">
        <f>COUNTA('Comrat-SE'!$A$5:$A$100)</f>
        <v>96</v>
      </c>
      <c r="D11" s="10">
        <f>SUM('Comrat-SE'!$E$5:$E$100)</f>
        <v>190894</v>
      </c>
      <c r="E11" s="11">
        <f t="shared" si="0"/>
        <v>7.9622305624122522E-2</v>
      </c>
      <c r="F11" s="1"/>
      <c r="G11" s="1"/>
      <c r="H11" s="1"/>
      <c r="I11" s="1"/>
      <c r="J11" s="1"/>
    </row>
    <row r="12" spans="1:10" ht="15">
      <c r="A12" s="35" t="s">
        <v>21</v>
      </c>
      <c r="B12" s="35"/>
      <c r="C12" s="12">
        <f>SUM(C5:C11)</f>
        <v>904</v>
      </c>
      <c r="D12" s="12">
        <f>SUM(D5:D11)</f>
        <v>2397494</v>
      </c>
      <c r="E12" s="13">
        <f>SUM(E5:E11)</f>
        <v>0.99999999999999989</v>
      </c>
      <c r="F12" s="1"/>
      <c r="G12" s="1"/>
      <c r="H12" s="1"/>
      <c r="I12" s="1"/>
      <c r="J12" s="1"/>
    </row>
    <row r="13" spans="1:10" ht="1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">
      <c r="A14" s="36" t="s">
        <v>22</v>
      </c>
      <c r="B14" s="36"/>
      <c r="C14" s="36"/>
      <c r="D14" s="36"/>
      <c r="E14" s="36"/>
      <c r="F14" s="36"/>
      <c r="G14" s="36"/>
      <c r="H14" s="36"/>
      <c r="I14" s="36"/>
      <c r="J14" s="36"/>
    </row>
    <row r="15" spans="1:10">
      <c r="A15" s="37" t="s">
        <v>23</v>
      </c>
      <c r="B15" s="37"/>
      <c r="C15" s="37"/>
      <c r="D15" s="37"/>
      <c r="E15" s="37"/>
      <c r="F15" s="37"/>
      <c r="G15" s="37"/>
      <c r="H15" s="37"/>
      <c r="I15" s="37"/>
      <c r="J15" s="37"/>
    </row>
    <row r="16" spans="1:10">
      <c r="A16" s="37"/>
      <c r="B16" s="37"/>
      <c r="C16" s="37"/>
      <c r="D16" s="37"/>
      <c r="E16" s="37"/>
      <c r="F16" s="37"/>
      <c r="G16" s="37"/>
      <c r="H16" s="37"/>
      <c r="I16" s="37"/>
      <c r="J16" s="37"/>
    </row>
    <row r="17" spans="1:10">
      <c r="A17" s="37"/>
      <c r="B17" s="37"/>
      <c r="C17" s="37"/>
      <c r="D17" s="37"/>
      <c r="E17" s="37"/>
      <c r="F17" s="37"/>
      <c r="G17" s="37"/>
      <c r="H17" s="37"/>
      <c r="I17" s="37"/>
      <c r="J17" s="37"/>
    </row>
    <row r="18" spans="1:10" ht="1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38" t="s">
        <v>24</v>
      </c>
      <c r="B19" s="38"/>
      <c r="C19" s="38"/>
      <c r="D19" s="38"/>
      <c r="E19" s="38"/>
      <c r="F19" s="38"/>
      <c r="G19" s="38"/>
      <c r="H19" s="38"/>
      <c r="I19" s="38"/>
      <c r="J19" s="38"/>
    </row>
  </sheetData>
  <mergeCells count="6">
    <mergeCell ref="A19:J19"/>
    <mergeCell ref="A1:J1"/>
    <mergeCell ref="A2:J2"/>
    <mergeCell ref="A12:B12"/>
    <mergeCell ref="A14:J14"/>
    <mergeCell ref="A15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3"/>
  <sheetViews>
    <sheetView showGridLines="0" tabSelected="1" workbookViewId="0">
      <selection sqref="A1:J1"/>
    </sheetView>
  </sheetViews>
  <sheetFormatPr baseColWidth="10" defaultColWidth="8.83203125" defaultRowHeight="14"/>
  <cols>
    <col min="1" max="1" width="7" customWidth="1"/>
    <col min="2" max="2" width="23" customWidth="1"/>
    <col min="3" max="3" width="25" customWidth="1"/>
    <col min="4" max="4" width="13" customWidth="1"/>
    <col min="5" max="5" width="16" customWidth="1"/>
    <col min="6" max="6" width="15" customWidth="1"/>
    <col min="7" max="7" width="22" customWidth="1"/>
    <col min="8" max="9" width="21" customWidth="1"/>
    <col min="10" max="10" width="22" customWidth="1"/>
  </cols>
  <sheetData>
    <row r="1" spans="1:10" ht="30" customHeight="1">
      <c r="A1" s="39" t="s">
        <v>25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2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2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5</v>
      </c>
      <c r="F4" s="14" t="s">
        <v>30</v>
      </c>
      <c r="G4" s="14" t="s">
        <v>31</v>
      </c>
      <c r="H4" s="14" t="s">
        <v>32</v>
      </c>
      <c r="I4" s="14" t="s">
        <v>33</v>
      </c>
      <c r="J4" s="14" t="s">
        <v>34</v>
      </c>
    </row>
    <row r="5" spans="1:10">
      <c r="A5" s="18">
        <v>1</v>
      </c>
      <c r="B5" s="15" t="s">
        <v>35</v>
      </c>
      <c r="C5" s="15" t="s">
        <v>36</v>
      </c>
      <c r="D5" s="21" t="s">
        <v>37</v>
      </c>
      <c r="E5" s="22">
        <v>4425</v>
      </c>
      <c r="F5" s="23" t="s">
        <v>38</v>
      </c>
      <c r="G5" s="15" t="s">
        <v>39</v>
      </c>
      <c r="H5" s="30">
        <v>19.100000000000001</v>
      </c>
      <c r="I5" s="30">
        <v>18.2</v>
      </c>
      <c r="J5" s="15" t="s">
        <v>40</v>
      </c>
    </row>
    <row r="6" spans="1:10">
      <c r="A6" s="19">
        <v>2</v>
      </c>
      <c r="B6" s="16" t="s">
        <v>35</v>
      </c>
      <c r="C6" s="16" t="s">
        <v>41</v>
      </c>
      <c r="D6" s="24" t="s">
        <v>42</v>
      </c>
      <c r="E6" s="25">
        <v>3956</v>
      </c>
      <c r="F6" s="26" t="s">
        <v>38</v>
      </c>
      <c r="G6" s="16" t="s">
        <v>39</v>
      </c>
      <c r="H6" s="31">
        <v>12</v>
      </c>
      <c r="I6" s="31">
        <v>11.2</v>
      </c>
      <c r="J6" s="16" t="s">
        <v>40</v>
      </c>
    </row>
    <row r="7" spans="1:10">
      <c r="A7" s="19">
        <v>3</v>
      </c>
      <c r="B7" s="16" t="s">
        <v>35</v>
      </c>
      <c r="C7" s="16" t="s">
        <v>43</v>
      </c>
      <c r="D7" s="24" t="s">
        <v>44</v>
      </c>
      <c r="E7" s="25">
        <v>11663</v>
      </c>
      <c r="F7" s="26" t="s">
        <v>45</v>
      </c>
      <c r="G7" s="16" t="s">
        <v>46</v>
      </c>
      <c r="H7" s="31">
        <v>16.600000000000001</v>
      </c>
      <c r="I7" s="31">
        <v>15.6</v>
      </c>
      <c r="J7" s="16" t="s">
        <v>40</v>
      </c>
    </row>
    <row r="8" spans="1:10">
      <c r="A8" s="19">
        <v>4</v>
      </c>
      <c r="B8" s="16" t="s">
        <v>35</v>
      </c>
      <c r="C8" s="16" t="s">
        <v>47</v>
      </c>
      <c r="D8" s="24" t="s">
        <v>48</v>
      </c>
      <c r="E8" s="25">
        <v>11152</v>
      </c>
      <c r="F8" s="26" t="s">
        <v>38</v>
      </c>
      <c r="G8" s="16" t="s">
        <v>39</v>
      </c>
      <c r="H8" s="31">
        <v>15.2</v>
      </c>
      <c r="I8" s="31">
        <v>12.9</v>
      </c>
      <c r="J8" s="16" t="s">
        <v>40</v>
      </c>
    </row>
    <row r="9" spans="1:10">
      <c r="A9" s="19">
        <v>5</v>
      </c>
      <c r="B9" s="16" t="s">
        <v>35</v>
      </c>
      <c r="C9" s="16" t="s">
        <v>49</v>
      </c>
      <c r="D9" s="24" t="s">
        <v>50</v>
      </c>
      <c r="E9" s="25">
        <v>6714</v>
      </c>
      <c r="F9" s="26" t="s">
        <v>38</v>
      </c>
      <c r="G9" s="16" t="s">
        <v>39</v>
      </c>
      <c r="H9" s="31">
        <v>14.6</v>
      </c>
      <c r="I9" s="31">
        <v>15.1</v>
      </c>
      <c r="J9" s="16" t="s">
        <v>40</v>
      </c>
    </row>
    <row r="10" spans="1:10">
      <c r="A10" s="19">
        <v>6</v>
      </c>
      <c r="B10" s="16" t="s">
        <v>35</v>
      </c>
      <c r="C10" s="16" t="s">
        <v>51</v>
      </c>
      <c r="D10" s="24" t="s">
        <v>52</v>
      </c>
      <c r="E10" s="25">
        <v>1709</v>
      </c>
      <c r="F10" s="26" t="s">
        <v>38</v>
      </c>
      <c r="G10" s="16" t="s">
        <v>39</v>
      </c>
      <c r="H10" s="31">
        <v>18.600000000000001</v>
      </c>
      <c r="I10" s="31">
        <v>17.600000000000001</v>
      </c>
      <c r="J10" s="16" t="s">
        <v>40</v>
      </c>
    </row>
    <row r="11" spans="1:10">
      <c r="A11" s="19">
        <v>7</v>
      </c>
      <c r="B11" s="16" t="s">
        <v>35</v>
      </c>
      <c r="C11" s="16" t="s">
        <v>53</v>
      </c>
      <c r="D11" s="24" t="s">
        <v>54</v>
      </c>
      <c r="E11" s="25">
        <v>7299</v>
      </c>
      <c r="F11" s="26" t="s">
        <v>38</v>
      </c>
      <c r="G11" s="16" t="s">
        <v>39</v>
      </c>
      <c r="H11" s="31">
        <v>13.6</v>
      </c>
      <c r="I11" s="31">
        <v>10.8</v>
      </c>
      <c r="J11" s="16" t="s">
        <v>40</v>
      </c>
    </row>
    <row r="12" spans="1:10">
      <c r="A12" s="19">
        <v>8</v>
      </c>
      <c r="B12" s="16" t="s">
        <v>35</v>
      </c>
      <c r="C12" s="16" t="s">
        <v>55</v>
      </c>
      <c r="D12" s="24" t="s">
        <v>56</v>
      </c>
      <c r="E12" s="25">
        <v>11210</v>
      </c>
      <c r="F12" s="26" t="s">
        <v>38</v>
      </c>
      <c r="G12" s="16" t="s">
        <v>39</v>
      </c>
      <c r="H12" s="31">
        <v>11.3</v>
      </c>
      <c r="I12" s="31">
        <v>10.1</v>
      </c>
      <c r="J12" s="16" t="s">
        <v>40</v>
      </c>
    </row>
    <row r="13" spans="1:10">
      <c r="A13" s="19">
        <v>9</v>
      </c>
      <c r="B13" s="16" t="s">
        <v>35</v>
      </c>
      <c r="C13" s="16" t="s">
        <v>57</v>
      </c>
      <c r="D13" s="24" t="s">
        <v>58</v>
      </c>
      <c r="E13" s="25">
        <v>4045</v>
      </c>
      <c r="F13" s="26" t="s">
        <v>38</v>
      </c>
      <c r="G13" s="16" t="s">
        <v>39</v>
      </c>
      <c r="H13" s="31">
        <v>15.4</v>
      </c>
      <c r="I13" s="31">
        <v>13.6</v>
      </c>
      <c r="J13" s="16" t="s">
        <v>40</v>
      </c>
    </row>
    <row r="14" spans="1:10">
      <c r="A14" s="19">
        <v>10</v>
      </c>
      <c r="B14" s="16" t="s">
        <v>35</v>
      </c>
      <c r="C14" s="16" t="s">
        <v>59</v>
      </c>
      <c r="D14" s="24" t="s">
        <v>60</v>
      </c>
      <c r="E14" s="25">
        <v>10937</v>
      </c>
      <c r="F14" s="26" t="s">
        <v>38</v>
      </c>
      <c r="G14" s="16" t="s">
        <v>39</v>
      </c>
      <c r="H14" s="31">
        <v>13.5</v>
      </c>
      <c r="I14" s="31">
        <v>12.8</v>
      </c>
      <c r="J14" s="16" t="s">
        <v>40</v>
      </c>
    </row>
    <row r="15" spans="1:10">
      <c r="A15" s="19">
        <v>11</v>
      </c>
      <c r="B15" s="16" t="s">
        <v>35</v>
      </c>
      <c r="C15" s="16" t="s">
        <v>61</v>
      </c>
      <c r="D15" s="24" t="s">
        <v>62</v>
      </c>
      <c r="E15" s="25">
        <v>547</v>
      </c>
      <c r="F15" s="26" t="s">
        <v>38</v>
      </c>
      <c r="G15" s="16" t="s">
        <v>39</v>
      </c>
      <c r="H15" s="31">
        <v>23.8</v>
      </c>
      <c r="I15" s="31">
        <v>26.2</v>
      </c>
      <c r="J15" s="16" t="s">
        <v>40</v>
      </c>
    </row>
    <row r="16" spans="1:10">
      <c r="A16" s="19">
        <v>12</v>
      </c>
      <c r="B16" s="16" t="s">
        <v>35</v>
      </c>
      <c r="C16" s="16" t="s">
        <v>63</v>
      </c>
      <c r="D16" s="24" t="s">
        <v>64</v>
      </c>
      <c r="E16" s="25">
        <v>5240</v>
      </c>
      <c r="F16" s="26" t="s">
        <v>38</v>
      </c>
      <c r="G16" s="16" t="s">
        <v>39</v>
      </c>
      <c r="H16" s="31">
        <v>11</v>
      </c>
      <c r="I16" s="31">
        <v>9.6999999999999993</v>
      </c>
      <c r="J16" s="16" t="s">
        <v>40</v>
      </c>
    </row>
    <row r="17" spans="1:10">
      <c r="A17" s="19">
        <v>13</v>
      </c>
      <c r="B17" s="16" t="s">
        <v>35</v>
      </c>
      <c r="C17" s="16" t="s">
        <v>65</v>
      </c>
      <c r="D17" s="24" t="s">
        <v>66</v>
      </c>
      <c r="E17" s="25">
        <v>567038</v>
      </c>
      <c r="F17" s="26" t="s">
        <v>38</v>
      </c>
      <c r="G17" s="16" t="s">
        <v>39</v>
      </c>
      <c r="H17" s="31">
        <v>5.5</v>
      </c>
      <c r="I17" s="31">
        <v>4.5999999999999996</v>
      </c>
      <c r="J17" s="16" t="s">
        <v>40</v>
      </c>
    </row>
    <row r="18" spans="1:10">
      <c r="A18" s="19">
        <v>14</v>
      </c>
      <c r="B18" s="16" t="s">
        <v>35</v>
      </c>
      <c r="C18" s="16" t="s">
        <v>67</v>
      </c>
      <c r="D18" s="24" t="s">
        <v>68</v>
      </c>
      <c r="E18" s="25">
        <v>18310</v>
      </c>
      <c r="F18" s="26" t="s">
        <v>38</v>
      </c>
      <c r="G18" s="16" t="s">
        <v>39</v>
      </c>
      <c r="H18" s="31">
        <v>9</v>
      </c>
      <c r="I18" s="31">
        <v>8.3000000000000007</v>
      </c>
      <c r="J18" s="16" t="s">
        <v>40</v>
      </c>
    </row>
    <row r="19" spans="1:10">
      <c r="A19" s="19">
        <v>15</v>
      </c>
      <c r="B19" s="16" t="s">
        <v>35</v>
      </c>
      <c r="C19" s="16" t="s">
        <v>69</v>
      </c>
      <c r="D19" s="24" t="s">
        <v>70</v>
      </c>
      <c r="E19" s="25">
        <v>9536</v>
      </c>
      <c r="F19" s="26" t="s">
        <v>38</v>
      </c>
      <c r="G19" s="16" t="s">
        <v>39</v>
      </c>
      <c r="H19" s="31">
        <v>13.9</v>
      </c>
      <c r="I19" s="31">
        <v>14.2</v>
      </c>
      <c r="J19" s="16" t="s">
        <v>40</v>
      </c>
    </row>
    <row r="20" spans="1:10">
      <c r="A20" s="19">
        <v>16</v>
      </c>
      <c r="B20" s="16" t="s">
        <v>35</v>
      </c>
      <c r="C20" s="16" t="s">
        <v>71</v>
      </c>
      <c r="D20" s="24" t="s">
        <v>72</v>
      </c>
      <c r="E20" s="25">
        <v>26308</v>
      </c>
      <c r="F20" s="26" t="s">
        <v>38</v>
      </c>
      <c r="G20" s="16" t="s">
        <v>39</v>
      </c>
      <c r="H20" s="31">
        <v>8.9</v>
      </c>
      <c r="I20" s="31">
        <v>7.4</v>
      </c>
      <c r="J20" s="16" t="s">
        <v>40</v>
      </c>
    </row>
    <row r="21" spans="1:10">
      <c r="A21" s="19">
        <v>17</v>
      </c>
      <c r="B21" s="16" t="s">
        <v>35</v>
      </c>
      <c r="C21" s="16" t="s">
        <v>73</v>
      </c>
      <c r="D21" s="24" t="s">
        <v>74</v>
      </c>
      <c r="E21" s="25">
        <v>12368</v>
      </c>
      <c r="F21" s="26" t="s">
        <v>38</v>
      </c>
      <c r="G21" s="16" t="s">
        <v>39</v>
      </c>
      <c r="H21" s="31">
        <v>22.1</v>
      </c>
      <c r="I21" s="31">
        <v>21.6</v>
      </c>
      <c r="J21" s="16" t="s">
        <v>40</v>
      </c>
    </row>
    <row r="22" spans="1:10">
      <c r="A22" s="19">
        <v>18</v>
      </c>
      <c r="B22" s="16" t="s">
        <v>35</v>
      </c>
      <c r="C22" s="16" t="s">
        <v>75</v>
      </c>
      <c r="D22" s="24" t="s">
        <v>76</v>
      </c>
      <c r="E22" s="25">
        <v>4280</v>
      </c>
      <c r="F22" s="26" t="s">
        <v>77</v>
      </c>
      <c r="G22" s="16" t="s">
        <v>78</v>
      </c>
      <c r="H22" s="31">
        <v>23.7</v>
      </c>
      <c r="I22" s="31">
        <v>24.7</v>
      </c>
      <c r="J22" s="16" t="s">
        <v>40</v>
      </c>
    </row>
    <row r="23" spans="1:10">
      <c r="A23" s="19">
        <v>19</v>
      </c>
      <c r="B23" s="16" t="s">
        <v>35</v>
      </c>
      <c r="C23" s="16" t="s">
        <v>79</v>
      </c>
      <c r="D23" s="24" t="s">
        <v>80</v>
      </c>
      <c r="E23" s="25">
        <v>3391</v>
      </c>
      <c r="F23" s="26" t="s">
        <v>38</v>
      </c>
      <c r="G23" s="16" t="s">
        <v>39</v>
      </c>
      <c r="H23" s="31">
        <v>13.7</v>
      </c>
      <c r="I23" s="31">
        <v>13.4</v>
      </c>
      <c r="J23" s="16" t="s">
        <v>40</v>
      </c>
    </row>
    <row r="24" spans="1:10">
      <c r="A24" s="19">
        <v>20</v>
      </c>
      <c r="B24" s="16" t="s">
        <v>81</v>
      </c>
      <c r="C24" s="16" t="s">
        <v>82</v>
      </c>
      <c r="D24" s="24" t="s">
        <v>83</v>
      </c>
      <c r="E24" s="25">
        <v>3598</v>
      </c>
      <c r="F24" s="26" t="s">
        <v>84</v>
      </c>
      <c r="G24" s="16" t="s">
        <v>85</v>
      </c>
      <c r="H24" s="31">
        <v>43</v>
      </c>
      <c r="I24" s="31">
        <v>43.7</v>
      </c>
      <c r="J24" s="16" t="s">
        <v>40</v>
      </c>
    </row>
    <row r="25" spans="1:10">
      <c r="A25" s="19">
        <v>21</v>
      </c>
      <c r="B25" s="16" t="s">
        <v>81</v>
      </c>
      <c r="C25" s="16" t="s">
        <v>86</v>
      </c>
      <c r="D25" s="24" t="s">
        <v>87</v>
      </c>
      <c r="E25" s="25">
        <v>943</v>
      </c>
      <c r="F25" s="26" t="s">
        <v>84</v>
      </c>
      <c r="G25" s="16" t="s">
        <v>85</v>
      </c>
      <c r="H25" s="31">
        <v>38.200000000000003</v>
      </c>
      <c r="I25" s="31">
        <v>43.7</v>
      </c>
      <c r="J25" s="16" t="s">
        <v>40</v>
      </c>
    </row>
    <row r="26" spans="1:10">
      <c r="A26" s="19">
        <v>22</v>
      </c>
      <c r="B26" s="16" t="s">
        <v>81</v>
      </c>
      <c r="C26" s="16" t="s">
        <v>88</v>
      </c>
      <c r="D26" s="24" t="s">
        <v>89</v>
      </c>
      <c r="E26" s="25">
        <v>946</v>
      </c>
      <c r="F26" s="26" t="s">
        <v>84</v>
      </c>
      <c r="G26" s="16" t="s">
        <v>85</v>
      </c>
      <c r="H26" s="31">
        <v>40.799999999999997</v>
      </c>
      <c r="I26" s="31">
        <v>39.4</v>
      </c>
      <c r="J26" s="16" t="s">
        <v>40</v>
      </c>
    </row>
    <row r="27" spans="1:10">
      <c r="A27" s="19">
        <v>23</v>
      </c>
      <c r="B27" s="16" t="s">
        <v>81</v>
      </c>
      <c r="C27" s="16" t="s">
        <v>90</v>
      </c>
      <c r="D27" s="24" t="s">
        <v>91</v>
      </c>
      <c r="E27" s="25">
        <v>1226</v>
      </c>
      <c r="F27" s="26" t="s">
        <v>84</v>
      </c>
      <c r="G27" s="16" t="s">
        <v>85</v>
      </c>
      <c r="H27" s="31">
        <v>45.6</v>
      </c>
      <c r="I27" s="31">
        <v>54.8</v>
      </c>
      <c r="J27" s="16" t="s">
        <v>40</v>
      </c>
    </row>
    <row r="28" spans="1:10">
      <c r="A28" s="19">
        <v>24</v>
      </c>
      <c r="B28" s="16" t="s">
        <v>81</v>
      </c>
      <c r="C28" s="16" t="s">
        <v>92</v>
      </c>
      <c r="D28" s="24" t="s">
        <v>93</v>
      </c>
      <c r="E28" s="25">
        <v>3073</v>
      </c>
      <c r="F28" s="26" t="s">
        <v>84</v>
      </c>
      <c r="G28" s="16" t="s">
        <v>85</v>
      </c>
      <c r="H28" s="31">
        <v>27.1</v>
      </c>
      <c r="I28" s="31">
        <v>28.2</v>
      </c>
      <c r="J28" s="16" t="s">
        <v>40</v>
      </c>
    </row>
    <row r="29" spans="1:10">
      <c r="A29" s="19">
        <v>25</v>
      </c>
      <c r="B29" s="16" t="s">
        <v>81</v>
      </c>
      <c r="C29" s="16" t="s">
        <v>94</v>
      </c>
      <c r="D29" s="24" t="s">
        <v>95</v>
      </c>
      <c r="E29" s="25">
        <v>1314</v>
      </c>
      <c r="F29" s="26" t="s">
        <v>84</v>
      </c>
      <c r="G29" s="16" t="s">
        <v>85</v>
      </c>
      <c r="H29" s="31">
        <v>32.799999999999997</v>
      </c>
      <c r="I29" s="31">
        <v>30.9</v>
      </c>
      <c r="J29" s="16" t="s">
        <v>40</v>
      </c>
    </row>
    <row r="30" spans="1:10">
      <c r="A30" s="19">
        <v>26</v>
      </c>
      <c r="B30" s="16" t="s">
        <v>81</v>
      </c>
      <c r="C30" s="16" t="s">
        <v>96</v>
      </c>
      <c r="D30" s="24" t="s">
        <v>97</v>
      </c>
      <c r="E30" s="25">
        <v>1136</v>
      </c>
      <c r="F30" s="26" t="s">
        <v>84</v>
      </c>
      <c r="G30" s="16" t="s">
        <v>85</v>
      </c>
      <c r="H30" s="31">
        <v>45.4</v>
      </c>
      <c r="I30" s="31">
        <v>46.7</v>
      </c>
      <c r="J30" s="16" t="s">
        <v>40</v>
      </c>
    </row>
    <row r="31" spans="1:10">
      <c r="A31" s="19">
        <v>27</v>
      </c>
      <c r="B31" s="16" t="s">
        <v>81</v>
      </c>
      <c r="C31" s="16" t="s">
        <v>98</v>
      </c>
      <c r="D31" s="24" t="s">
        <v>99</v>
      </c>
      <c r="E31" s="25">
        <v>1787</v>
      </c>
      <c r="F31" s="26" t="s">
        <v>84</v>
      </c>
      <c r="G31" s="16" t="s">
        <v>85</v>
      </c>
      <c r="H31" s="31">
        <v>31.6</v>
      </c>
      <c r="I31" s="31">
        <v>36</v>
      </c>
      <c r="J31" s="16" t="s">
        <v>40</v>
      </c>
    </row>
    <row r="32" spans="1:10">
      <c r="A32" s="19">
        <v>28</v>
      </c>
      <c r="B32" s="16" t="s">
        <v>81</v>
      </c>
      <c r="C32" s="16" t="s">
        <v>100</v>
      </c>
      <c r="D32" s="24" t="s">
        <v>101</v>
      </c>
      <c r="E32" s="25">
        <v>2436</v>
      </c>
      <c r="F32" s="26" t="s">
        <v>84</v>
      </c>
      <c r="G32" s="16" t="s">
        <v>85</v>
      </c>
      <c r="H32" s="31">
        <v>41.7</v>
      </c>
      <c r="I32" s="31">
        <v>41.5</v>
      </c>
      <c r="J32" s="16" t="s">
        <v>40</v>
      </c>
    </row>
    <row r="33" spans="1:10">
      <c r="A33" s="19">
        <v>29</v>
      </c>
      <c r="B33" s="16" t="s">
        <v>81</v>
      </c>
      <c r="C33" s="16" t="s">
        <v>102</v>
      </c>
      <c r="D33" s="24" t="s">
        <v>103</v>
      </c>
      <c r="E33" s="25">
        <v>236</v>
      </c>
      <c r="F33" s="26" t="s">
        <v>84</v>
      </c>
      <c r="G33" s="16" t="s">
        <v>85</v>
      </c>
      <c r="H33" s="31">
        <v>48</v>
      </c>
      <c r="I33" s="31">
        <v>49.1</v>
      </c>
      <c r="J33" s="16" t="s">
        <v>40</v>
      </c>
    </row>
    <row r="34" spans="1:10">
      <c r="A34" s="19">
        <v>30</v>
      </c>
      <c r="B34" s="16" t="s">
        <v>81</v>
      </c>
      <c r="C34" s="16" t="s">
        <v>104</v>
      </c>
      <c r="D34" s="24" t="s">
        <v>105</v>
      </c>
      <c r="E34" s="25">
        <v>823</v>
      </c>
      <c r="F34" s="26" t="s">
        <v>84</v>
      </c>
      <c r="G34" s="16" t="s">
        <v>85</v>
      </c>
      <c r="H34" s="31">
        <v>40.5</v>
      </c>
      <c r="I34" s="31">
        <v>50</v>
      </c>
      <c r="J34" s="16" t="s">
        <v>40</v>
      </c>
    </row>
    <row r="35" spans="1:10">
      <c r="A35" s="19">
        <v>31</v>
      </c>
      <c r="B35" s="16" t="s">
        <v>81</v>
      </c>
      <c r="C35" s="16" t="s">
        <v>106</v>
      </c>
      <c r="D35" s="24" t="s">
        <v>107</v>
      </c>
      <c r="E35" s="25">
        <v>2462</v>
      </c>
      <c r="F35" s="26" t="s">
        <v>84</v>
      </c>
      <c r="G35" s="16" t="s">
        <v>85</v>
      </c>
      <c r="H35" s="31">
        <v>34</v>
      </c>
      <c r="I35" s="31">
        <v>40.700000000000003</v>
      </c>
      <c r="J35" s="16" t="s">
        <v>40</v>
      </c>
    </row>
    <row r="36" spans="1:10">
      <c r="A36" s="19">
        <v>32</v>
      </c>
      <c r="B36" s="16" t="s">
        <v>81</v>
      </c>
      <c r="C36" s="16" t="s">
        <v>108</v>
      </c>
      <c r="D36" s="24" t="s">
        <v>109</v>
      </c>
      <c r="E36" s="25">
        <v>562</v>
      </c>
      <c r="F36" s="26" t="s">
        <v>84</v>
      </c>
      <c r="G36" s="16" t="s">
        <v>85</v>
      </c>
      <c r="H36" s="31">
        <v>52.5</v>
      </c>
      <c r="I36" s="31">
        <v>61.6</v>
      </c>
      <c r="J36" s="16" t="s">
        <v>40</v>
      </c>
    </row>
    <row r="37" spans="1:10">
      <c r="A37" s="19">
        <v>33</v>
      </c>
      <c r="B37" s="16" t="s">
        <v>81</v>
      </c>
      <c r="C37" s="16" t="s">
        <v>110</v>
      </c>
      <c r="D37" s="24" t="s">
        <v>111</v>
      </c>
      <c r="E37" s="25">
        <v>1210</v>
      </c>
      <c r="F37" s="26" t="s">
        <v>84</v>
      </c>
      <c r="G37" s="16" t="s">
        <v>85</v>
      </c>
      <c r="H37" s="31">
        <v>44.9</v>
      </c>
      <c r="I37" s="31">
        <v>48.1</v>
      </c>
      <c r="J37" s="16" t="s">
        <v>40</v>
      </c>
    </row>
    <row r="38" spans="1:10">
      <c r="A38" s="19">
        <v>34</v>
      </c>
      <c r="B38" s="16" t="s">
        <v>81</v>
      </c>
      <c r="C38" s="16" t="s">
        <v>112</v>
      </c>
      <c r="D38" s="24" t="s">
        <v>113</v>
      </c>
      <c r="E38" s="25">
        <v>3059</v>
      </c>
      <c r="F38" s="26" t="s">
        <v>38</v>
      </c>
      <c r="G38" s="16" t="s">
        <v>39</v>
      </c>
      <c r="H38" s="31">
        <v>25.4</v>
      </c>
      <c r="I38" s="31">
        <v>21.9</v>
      </c>
      <c r="J38" s="16" t="s">
        <v>40</v>
      </c>
    </row>
    <row r="39" spans="1:10">
      <c r="A39" s="19">
        <v>35</v>
      </c>
      <c r="B39" s="16" t="s">
        <v>81</v>
      </c>
      <c r="C39" s="16" t="s">
        <v>114</v>
      </c>
      <c r="D39" s="24" t="s">
        <v>115</v>
      </c>
      <c r="E39" s="25">
        <v>2138</v>
      </c>
      <c r="F39" s="26" t="s">
        <v>84</v>
      </c>
      <c r="G39" s="16" t="s">
        <v>85</v>
      </c>
      <c r="H39" s="31">
        <v>50</v>
      </c>
      <c r="I39" s="31">
        <v>61.7</v>
      </c>
      <c r="J39" s="16" t="s">
        <v>40</v>
      </c>
    </row>
    <row r="40" spans="1:10">
      <c r="A40" s="19">
        <v>36</v>
      </c>
      <c r="B40" s="16" t="s">
        <v>81</v>
      </c>
      <c r="C40" s="16" t="s">
        <v>116</v>
      </c>
      <c r="D40" s="24" t="s">
        <v>117</v>
      </c>
      <c r="E40" s="25">
        <v>3540</v>
      </c>
      <c r="F40" s="26" t="s">
        <v>84</v>
      </c>
      <c r="G40" s="16" t="s">
        <v>85</v>
      </c>
      <c r="H40" s="31">
        <v>49.7</v>
      </c>
      <c r="I40" s="31">
        <v>58.4</v>
      </c>
      <c r="J40" s="16" t="s">
        <v>40</v>
      </c>
    </row>
    <row r="41" spans="1:10">
      <c r="A41" s="19">
        <v>37</v>
      </c>
      <c r="B41" s="16" t="s">
        <v>81</v>
      </c>
      <c r="C41" s="16" t="s">
        <v>118</v>
      </c>
      <c r="D41" s="24" t="s">
        <v>119</v>
      </c>
      <c r="E41" s="25">
        <v>1494</v>
      </c>
      <c r="F41" s="26" t="s">
        <v>38</v>
      </c>
      <c r="G41" s="16" t="s">
        <v>39</v>
      </c>
      <c r="H41" s="31">
        <v>23.2</v>
      </c>
      <c r="I41" s="31">
        <v>21.1</v>
      </c>
      <c r="J41" s="16" t="s">
        <v>40</v>
      </c>
    </row>
    <row r="42" spans="1:10">
      <c r="A42" s="19">
        <v>38</v>
      </c>
      <c r="B42" s="16" t="s">
        <v>81</v>
      </c>
      <c r="C42" s="16" t="s">
        <v>120</v>
      </c>
      <c r="D42" s="24" t="s">
        <v>121</v>
      </c>
      <c r="E42" s="25">
        <v>4206</v>
      </c>
      <c r="F42" s="26" t="s">
        <v>38</v>
      </c>
      <c r="G42" s="16" t="s">
        <v>39</v>
      </c>
      <c r="H42" s="31">
        <v>22</v>
      </c>
      <c r="I42" s="31">
        <v>21.6</v>
      </c>
      <c r="J42" s="16" t="s">
        <v>40</v>
      </c>
    </row>
    <row r="43" spans="1:10">
      <c r="A43" s="19">
        <v>39</v>
      </c>
      <c r="B43" s="16" t="s">
        <v>81</v>
      </c>
      <c r="C43" s="16" t="s">
        <v>122</v>
      </c>
      <c r="D43" s="24" t="s">
        <v>123</v>
      </c>
      <c r="E43" s="25">
        <v>1182</v>
      </c>
      <c r="F43" s="26" t="s">
        <v>84</v>
      </c>
      <c r="G43" s="16" t="s">
        <v>85</v>
      </c>
      <c r="H43" s="31">
        <v>28.4</v>
      </c>
      <c r="I43" s="31">
        <v>27.3</v>
      </c>
      <c r="J43" s="16" t="s">
        <v>40</v>
      </c>
    </row>
    <row r="44" spans="1:10">
      <c r="A44" s="19">
        <v>40</v>
      </c>
      <c r="B44" s="16" t="s">
        <v>81</v>
      </c>
      <c r="C44" s="16" t="s">
        <v>85</v>
      </c>
      <c r="D44" s="24" t="s">
        <v>124</v>
      </c>
      <c r="E44" s="25">
        <v>8933</v>
      </c>
      <c r="F44" s="26" t="s">
        <v>84</v>
      </c>
      <c r="G44" s="16" t="s">
        <v>85</v>
      </c>
      <c r="H44" s="31">
        <v>39.9</v>
      </c>
      <c r="I44" s="31">
        <v>41</v>
      </c>
      <c r="J44" s="16" t="s">
        <v>40</v>
      </c>
    </row>
    <row r="45" spans="1:10">
      <c r="A45" s="19">
        <v>41</v>
      </c>
      <c r="B45" s="16" t="s">
        <v>81</v>
      </c>
      <c r="C45" s="16" t="s">
        <v>125</v>
      </c>
      <c r="D45" s="24" t="s">
        <v>126</v>
      </c>
      <c r="E45" s="25">
        <v>2199</v>
      </c>
      <c r="F45" s="26" t="s">
        <v>84</v>
      </c>
      <c r="G45" s="16" t="s">
        <v>85</v>
      </c>
      <c r="H45" s="31">
        <v>51.7</v>
      </c>
      <c r="I45" s="31">
        <v>52.6</v>
      </c>
      <c r="J45" s="16" t="s">
        <v>40</v>
      </c>
    </row>
    <row r="46" spans="1:10">
      <c r="A46" s="19">
        <v>42</v>
      </c>
      <c r="B46" s="16" t="s">
        <v>81</v>
      </c>
      <c r="C46" s="16" t="s">
        <v>127</v>
      </c>
      <c r="D46" s="24" t="s">
        <v>128</v>
      </c>
      <c r="E46" s="25">
        <v>1670</v>
      </c>
      <c r="F46" s="26" t="s">
        <v>84</v>
      </c>
      <c r="G46" s="16" t="s">
        <v>85</v>
      </c>
      <c r="H46" s="31">
        <v>42.4</v>
      </c>
      <c r="I46" s="31">
        <v>52.3</v>
      </c>
      <c r="J46" s="16" t="s">
        <v>40</v>
      </c>
    </row>
    <row r="47" spans="1:10">
      <c r="A47" s="19">
        <v>43</v>
      </c>
      <c r="B47" s="16" t="s">
        <v>81</v>
      </c>
      <c r="C47" s="16" t="s">
        <v>129</v>
      </c>
      <c r="D47" s="24" t="s">
        <v>130</v>
      </c>
      <c r="E47" s="25">
        <v>1593</v>
      </c>
      <c r="F47" s="26" t="s">
        <v>84</v>
      </c>
      <c r="G47" s="16" t="s">
        <v>85</v>
      </c>
      <c r="H47" s="31">
        <v>45.8</v>
      </c>
      <c r="I47" s="31">
        <v>55.4</v>
      </c>
      <c r="J47" s="16" t="s">
        <v>40</v>
      </c>
    </row>
    <row r="48" spans="1:10">
      <c r="A48" s="19">
        <v>44</v>
      </c>
      <c r="B48" s="16" t="s">
        <v>81</v>
      </c>
      <c r="C48" s="16" t="s">
        <v>131</v>
      </c>
      <c r="D48" s="24" t="s">
        <v>132</v>
      </c>
      <c r="E48" s="25">
        <v>2094</v>
      </c>
      <c r="F48" s="26" t="s">
        <v>84</v>
      </c>
      <c r="G48" s="16" t="s">
        <v>85</v>
      </c>
      <c r="H48" s="31">
        <v>52.4</v>
      </c>
      <c r="I48" s="31">
        <v>62.4</v>
      </c>
      <c r="J48" s="16" t="s">
        <v>40</v>
      </c>
    </row>
    <row r="49" spans="1:10">
      <c r="A49" s="19">
        <v>45</v>
      </c>
      <c r="B49" s="16" t="s">
        <v>81</v>
      </c>
      <c r="C49" s="16" t="s">
        <v>133</v>
      </c>
      <c r="D49" s="24"/>
      <c r="E49" s="25">
        <v>0</v>
      </c>
      <c r="F49" s="26" t="s">
        <v>84</v>
      </c>
      <c r="G49" s="16" t="s">
        <v>85</v>
      </c>
      <c r="H49" s="31">
        <v>35.6</v>
      </c>
      <c r="I49" s="31">
        <v>35</v>
      </c>
      <c r="J49" s="16" t="s">
        <v>40</v>
      </c>
    </row>
    <row r="50" spans="1:10">
      <c r="A50" s="19">
        <v>46</v>
      </c>
      <c r="B50" s="16" t="s">
        <v>81</v>
      </c>
      <c r="C50" s="16" t="s">
        <v>134</v>
      </c>
      <c r="D50" s="24" t="s">
        <v>135</v>
      </c>
      <c r="E50" s="25">
        <v>3827</v>
      </c>
      <c r="F50" s="26" t="s">
        <v>84</v>
      </c>
      <c r="G50" s="16" t="s">
        <v>85</v>
      </c>
      <c r="H50" s="31">
        <v>56.3</v>
      </c>
      <c r="I50" s="31">
        <v>65.7</v>
      </c>
      <c r="J50" s="16" t="s">
        <v>40</v>
      </c>
    </row>
    <row r="51" spans="1:10">
      <c r="A51" s="19">
        <v>47</v>
      </c>
      <c r="B51" s="16" t="s">
        <v>136</v>
      </c>
      <c r="C51" s="16" t="s">
        <v>137</v>
      </c>
      <c r="D51" s="24" t="s">
        <v>138</v>
      </c>
      <c r="E51" s="25">
        <v>526</v>
      </c>
      <c r="F51" s="26" t="s">
        <v>139</v>
      </c>
      <c r="G51" s="16" t="s">
        <v>140</v>
      </c>
      <c r="H51" s="31">
        <v>59.5</v>
      </c>
      <c r="I51" s="31">
        <v>65.5</v>
      </c>
      <c r="J51" s="16" t="s">
        <v>40</v>
      </c>
    </row>
    <row r="52" spans="1:10">
      <c r="A52" s="19">
        <v>48</v>
      </c>
      <c r="B52" s="16" t="s">
        <v>136</v>
      </c>
      <c r="C52" s="16" t="s">
        <v>141</v>
      </c>
      <c r="D52" s="24" t="s">
        <v>142</v>
      </c>
      <c r="E52" s="25">
        <v>772</v>
      </c>
      <c r="F52" s="26" t="s">
        <v>139</v>
      </c>
      <c r="G52" s="16" t="s">
        <v>140</v>
      </c>
      <c r="H52" s="31">
        <v>53.2</v>
      </c>
      <c r="I52" s="31">
        <v>59.7</v>
      </c>
      <c r="J52" s="16" t="s">
        <v>40</v>
      </c>
    </row>
    <row r="53" spans="1:10">
      <c r="A53" s="19">
        <v>49</v>
      </c>
      <c r="B53" s="16" t="s">
        <v>136</v>
      </c>
      <c r="C53" s="16" t="s">
        <v>143</v>
      </c>
      <c r="D53" s="24" t="s">
        <v>144</v>
      </c>
      <c r="E53" s="25">
        <v>1706</v>
      </c>
      <c r="F53" s="26" t="s">
        <v>139</v>
      </c>
      <c r="G53" s="16" t="s">
        <v>140</v>
      </c>
      <c r="H53" s="31">
        <v>44.1</v>
      </c>
      <c r="I53" s="31">
        <v>51.3</v>
      </c>
      <c r="J53" s="16" t="s">
        <v>40</v>
      </c>
    </row>
    <row r="54" spans="1:10">
      <c r="A54" s="19">
        <v>50</v>
      </c>
      <c r="B54" s="16" t="s">
        <v>136</v>
      </c>
      <c r="C54" s="16" t="s">
        <v>145</v>
      </c>
      <c r="D54" s="24" t="s">
        <v>146</v>
      </c>
      <c r="E54" s="25">
        <v>1619</v>
      </c>
      <c r="F54" s="26" t="s">
        <v>139</v>
      </c>
      <c r="G54" s="16" t="s">
        <v>140</v>
      </c>
      <c r="H54" s="31">
        <v>47.6</v>
      </c>
      <c r="I54" s="31">
        <v>56.4</v>
      </c>
      <c r="J54" s="16" t="s">
        <v>40</v>
      </c>
    </row>
    <row r="55" spans="1:10">
      <c r="A55" s="19">
        <v>51</v>
      </c>
      <c r="B55" s="16" t="s">
        <v>136</v>
      </c>
      <c r="C55" s="16" t="s">
        <v>147</v>
      </c>
      <c r="D55" s="24" t="s">
        <v>148</v>
      </c>
      <c r="E55" s="25">
        <v>1021</v>
      </c>
      <c r="F55" s="26" t="s">
        <v>139</v>
      </c>
      <c r="G55" s="16" t="s">
        <v>140</v>
      </c>
      <c r="H55" s="31">
        <v>37.9</v>
      </c>
      <c r="I55" s="31">
        <v>45.6</v>
      </c>
      <c r="J55" s="16" t="s">
        <v>40</v>
      </c>
    </row>
    <row r="56" spans="1:10">
      <c r="A56" s="19">
        <v>52</v>
      </c>
      <c r="B56" s="16" t="s">
        <v>136</v>
      </c>
      <c r="C56" s="16" t="s">
        <v>140</v>
      </c>
      <c r="D56" s="24" t="s">
        <v>149</v>
      </c>
      <c r="E56" s="25">
        <v>9469</v>
      </c>
      <c r="F56" s="26" t="s">
        <v>139</v>
      </c>
      <c r="G56" s="16" t="s">
        <v>140</v>
      </c>
      <c r="H56" s="31">
        <v>44.1</v>
      </c>
      <c r="I56" s="31">
        <v>51.2</v>
      </c>
      <c r="J56" s="16" t="s">
        <v>40</v>
      </c>
    </row>
    <row r="57" spans="1:10">
      <c r="A57" s="19">
        <v>53</v>
      </c>
      <c r="B57" s="16" t="s">
        <v>136</v>
      </c>
      <c r="C57" s="16" t="s">
        <v>150</v>
      </c>
      <c r="D57" s="24" t="s">
        <v>151</v>
      </c>
      <c r="E57" s="25">
        <v>547</v>
      </c>
      <c r="F57" s="26" t="s">
        <v>139</v>
      </c>
      <c r="G57" s="16" t="s">
        <v>140</v>
      </c>
      <c r="H57" s="31">
        <v>45.3</v>
      </c>
      <c r="I57" s="31">
        <v>51</v>
      </c>
      <c r="J57" s="16" t="s">
        <v>40</v>
      </c>
    </row>
    <row r="58" spans="1:10">
      <c r="A58" s="19">
        <v>54</v>
      </c>
      <c r="B58" s="16" t="s">
        <v>136</v>
      </c>
      <c r="C58" s="16" t="s">
        <v>152</v>
      </c>
      <c r="D58" s="24" t="s">
        <v>153</v>
      </c>
      <c r="E58" s="25">
        <v>820</v>
      </c>
      <c r="F58" s="26" t="s">
        <v>139</v>
      </c>
      <c r="G58" s="16" t="s">
        <v>140</v>
      </c>
      <c r="H58" s="31">
        <v>49.4</v>
      </c>
      <c r="I58" s="31">
        <v>57.1</v>
      </c>
      <c r="J58" s="16" t="s">
        <v>40</v>
      </c>
    </row>
    <row r="59" spans="1:10">
      <c r="A59" s="19">
        <v>55</v>
      </c>
      <c r="B59" s="16" t="s">
        <v>136</v>
      </c>
      <c r="C59" s="16" t="s">
        <v>154</v>
      </c>
      <c r="D59" s="24" t="s">
        <v>155</v>
      </c>
      <c r="E59" s="25">
        <v>1796</v>
      </c>
      <c r="F59" s="26" t="s">
        <v>139</v>
      </c>
      <c r="G59" s="16" t="s">
        <v>140</v>
      </c>
      <c r="H59" s="31">
        <v>41</v>
      </c>
      <c r="I59" s="31">
        <v>45.9</v>
      </c>
      <c r="J59" s="16" t="s">
        <v>40</v>
      </c>
    </row>
    <row r="60" spans="1:10">
      <c r="A60" s="19">
        <v>56</v>
      </c>
      <c r="B60" s="16" t="s">
        <v>136</v>
      </c>
      <c r="C60" s="16" t="s">
        <v>156</v>
      </c>
      <c r="D60" s="24" t="s">
        <v>157</v>
      </c>
      <c r="E60" s="25">
        <v>932</v>
      </c>
      <c r="F60" s="26" t="s">
        <v>139</v>
      </c>
      <c r="G60" s="16" t="s">
        <v>140</v>
      </c>
      <c r="H60" s="31">
        <v>50</v>
      </c>
      <c r="I60" s="31">
        <v>54.8</v>
      </c>
      <c r="J60" s="16" t="s">
        <v>40</v>
      </c>
    </row>
    <row r="61" spans="1:10">
      <c r="A61" s="19">
        <v>57</v>
      </c>
      <c r="B61" s="16" t="s">
        <v>136</v>
      </c>
      <c r="C61" s="16" t="s">
        <v>158</v>
      </c>
      <c r="D61" s="24" t="s">
        <v>159</v>
      </c>
      <c r="E61" s="25">
        <v>1422</v>
      </c>
      <c r="F61" s="26" t="s">
        <v>139</v>
      </c>
      <c r="G61" s="16" t="s">
        <v>140</v>
      </c>
      <c r="H61" s="31">
        <v>37.700000000000003</v>
      </c>
      <c r="I61" s="31">
        <v>45.4</v>
      </c>
      <c r="J61" s="16" t="s">
        <v>40</v>
      </c>
    </row>
    <row r="62" spans="1:10">
      <c r="A62" s="19">
        <v>58</v>
      </c>
      <c r="B62" s="16" t="s">
        <v>136</v>
      </c>
      <c r="C62" s="16" t="s">
        <v>160</v>
      </c>
      <c r="D62" s="24" t="s">
        <v>161</v>
      </c>
      <c r="E62" s="25">
        <v>783</v>
      </c>
      <c r="F62" s="26" t="s">
        <v>139</v>
      </c>
      <c r="G62" s="16" t="s">
        <v>140</v>
      </c>
      <c r="H62" s="31">
        <v>58.4</v>
      </c>
      <c r="I62" s="31">
        <v>66.3</v>
      </c>
      <c r="J62" s="16" t="s">
        <v>40</v>
      </c>
    </row>
    <row r="63" spans="1:10">
      <c r="A63" s="19">
        <v>59</v>
      </c>
      <c r="B63" s="16" t="s">
        <v>136</v>
      </c>
      <c r="C63" s="16" t="s">
        <v>162</v>
      </c>
      <c r="D63" s="24" t="s">
        <v>163</v>
      </c>
      <c r="E63" s="25">
        <v>2118</v>
      </c>
      <c r="F63" s="26" t="s">
        <v>139</v>
      </c>
      <c r="G63" s="16" t="s">
        <v>140</v>
      </c>
      <c r="H63" s="31">
        <v>57.6</v>
      </c>
      <c r="I63" s="31">
        <v>64.8</v>
      </c>
      <c r="J63" s="16" t="s">
        <v>40</v>
      </c>
    </row>
    <row r="64" spans="1:10">
      <c r="A64" s="19">
        <v>60</v>
      </c>
      <c r="B64" s="16" t="s">
        <v>136</v>
      </c>
      <c r="C64" s="16" t="s">
        <v>164</v>
      </c>
      <c r="D64" s="24" t="s">
        <v>165</v>
      </c>
      <c r="E64" s="25">
        <v>771</v>
      </c>
      <c r="F64" s="26" t="s">
        <v>139</v>
      </c>
      <c r="G64" s="16" t="s">
        <v>140</v>
      </c>
      <c r="H64" s="31">
        <v>37.200000000000003</v>
      </c>
      <c r="I64" s="31">
        <v>40.799999999999997</v>
      </c>
      <c r="J64" s="16" t="s">
        <v>40</v>
      </c>
    </row>
    <row r="65" spans="1:10">
      <c r="A65" s="19">
        <v>61</v>
      </c>
      <c r="B65" s="16" t="s">
        <v>166</v>
      </c>
      <c r="C65" s="16" t="s">
        <v>167</v>
      </c>
      <c r="D65" s="24" t="s">
        <v>168</v>
      </c>
      <c r="E65" s="25">
        <v>1904</v>
      </c>
      <c r="F65" s="26" t="s">
        <v>169</v>
      </c>
      <c r="G65" s="16" t="s">
        <v>170</v>
      </c>
      <c r="H65" s="31">
        <v>79.099999999999994</v>
      </c>
      <c r="I65" s="31">
        <v>84.3</v>
      </c>
      <c r="J65" s="16" t="s">
        <v>40</v>
      </c>
    </row>
    <row r="66" spans="1:10">
      <c r="A66" s="19">
        <v>62</v>
      </c>
      <c r="B66" s="16" t="s">
        <v>166</v>
      </c>
      <c r="C66" s="16" t="s">
        <v>171</v>
      </c>
      <c r="D66" s="24" t="s">
        <v>172</v>
      </c>
      <c r="E66" s="25">
        <v>1961</v>
      </c>
      <c r="F66" s="26" t="s">
        <v>169</v>
      </c>
      <c r="G66" s="16" t="s">
        <v>170</v>
      </c>
      <c r="H66" s="31">
        <v>75.5</v>
      </c>
      <c r="I66" s="31">
        <v>82.4</v>
      </c>
      <c r="J66" s="16" t="s">
        <v>40</v>
      </c>
    </row>
    <row r="67" spans="1:10">
      <c r="A67" s="19">
        <v>63</v>
      </c>
      <c r="B67" s="16" t="s">
        <v>166</v>
      </c>
      <c r="C67" s="16" t="s">
        <v>173</v>
      </c>
      <c r="D67" s="24" t="s">
        <v>174</v>
      </c>
      <c r="E67" s="25">
        <v>1315</v>
      </c>
      <c r="F67" s="26" t="s">
        <v>169</v>
      </c>
      <c r="G67" s="16" t="s">
        <v>170</v>
      </c>
      <c r="H67" s="31">
        <v>61.5</v>
      </c>
      <c r="I67" s="31">
        <v>67.400000000000006</v>
      </c>
      <c r="J67" s="16" t="s">
        <v>40</v>
      </c>
    </row>
    <row r="68" spans="1:10">
      <c r="A68" s="19">
        <v>64</v>
      </c>
      <c r="B68" s="16" t="s">
        <v>166</v>
      </c>
      <c r="C68" s="16" t="s">
        <v>175</v>
      </c>
      <c r="D68" s="24" t="s">
        <v>176</v>
      </c>
      <c r="E68" s="25">
        <v>1445</v>
      </c>
      <c r="F68" s="26" t="s">
        <v>45</v>
      </c>
      <c r="G68" s="16" t="s">
        <v>46</v>
      </c>
      <c r="H68" s="31">
        <v>55.5</v>
      </c>
      <c r="I68" s="31">
        <v>64</v>
      </c>
      <c r="J68" s="16" t="s">
        <v>40</v>
      </c>
    </row>
    <row r="69" spans="1:10">
      <c r="A69" s="19">
        <v>65</v>
      </c>
      <c r="B69" s="16" t="s">
        <v>166</v>
      </c>
      <c r="C69" s="16" t="s">
        <v>177</v>
      </c>
      <c r="D69" s="24" t="s">
        <v>178</v>
      </c>
      <c r="E69" s="25">
        <v>939</v>
      </c>
      <c r="F69" s="26" t="s">
        <v>45</v>
      </c>
      <c r="G69" s="16" t="s">
        <v>46</v>
      </c>
      <c r="H69" s="31">
        <v>50.3</v>
      </c>
      <c r="I69" s="31">
        <v>57.9</v>
      </c>
      <c r="J69" s="16" t="s">
        <v>40</v>
      </c>
    </row>
    <row r="70" spans="1:10">
      <c r="A70" s="19">
        <v>66</v>
      </c>
      <c r="B70" s="16" t="s">
        <v>166</v>
      </c>
      <c r="C70" s="16" t="s">
        <v>179</v>
      </c>
      <c r="D70" s="24" t="s">
        <v>180</v>
      </c>
      <c r="E70" s="25">
        <v>1022</v>
      </c>
      <c r="F70" s="26" t="s">
        <v>169</v>
      </c>
      <c r="G70" s="16" t="s">
        <v>170</v>
      </c>
      <c r="H70" s="31">
        <v>52.7</v>
      </c>
      <c r="I70" s="31">
        <v>61.5</v>
      </c>
      <c r="J70" s="16" t="s">
        <v>40</v>
      </c>
    </row>
    <row r="71" spans="1:10">
      <c r="A71" s="19">
        <v>67</v>
      </c>
      <c r="B71" s="16" t="s">
        <v>166</v>
      </c>
      <c r="C71" s="16" t="s">
        <v>181</v>
      </c>
      <c r="D71" s="24" t="s">
        <v>182</v>
      </c>
      <c r="E71" s="25">
        <v>3263</v>
      </c>
      <c r="F71" s="26" t="s">
        <v>84</v>
      </c>
      <c r="G71" s="16" t="s">
        <v>85</v>
      </c>
      <c r="H71" s="31">
        <v>57.6</v>
      </c>
      <c r="I71" s="31">
        <v>61.9</v>
      </c>
      <c r="J71" s="16" t="s">
        <v>40</v>
      </c>
    </row>
    <row r="72" spans="1:10">
      <c r="A72" s="19">
        <v>68</v>
      </c>
      <c r="B72" s="16" t="s">
        <v>166</v>
      </c>
      <c r="C72" s="16" t="s">
        <v>183</v>
      </c>
      <c r="D72" s="24" t="s">
        <v>184</v>
      </c>
      <c r="E72" s="25">
        <v>605</v>
      </c>
      <c r="F72" s="26" t="s">
        <v>169</v>
      </c>
      <c r="G72" s="16" t="s">
        <v>170</v>
      </c>
      <c r="H72" s="31">
        <v>82.3</v>
      </c>
      <c r="I72" s="31">
        <v>90.4</v>
      </c>
      <c r="J72" s="16" t="s">
        <v>40</v>
      </c>
    </row>
    <row r="73" spans="1:10">
      <c r="A73" s="19">
        <v>69</v>
      </c>
      <c r="B73" s="16" t="s">
        <v>166</v>
      </c>
      <c r="C73" s="16" t="s">
        <v>185</v>
      </c>
      <c r="D73" s="24" t="s">
        <v>186</v>
      </c>
      <c r="E73" s="25">
        <v>848</v>
      </c>
      <c r="F73" s="26" t="s">
        <v>45</v>
      </c>
      <c r="G73" s="16" t="s">
        <v>46</v>
      </c>
      <c r="H73" s="31">
        <v>43.7</v>
      </c>
      <c r="I73" s="31">
        <v>51.6</v>
      </c>
      <c r="J73" s="16" t="s">
        <v>40</v>
      </c>
    </row>
    <row r="74" spans="1:10">
      <c r="A74" s="19">
        <v>70</v>
      </c>
      <c r="B74" s="16" t="s">
        <v>166</v>
      </c>
      <c r="C74" s="16" t="s">
        <v>187</v>
      </c>
      <c r="D74" s="24" t="s">
        <v>188</v>
      </c>
      <c r="E74" s="25">
        <v>474</v>
      </c>
      <c r="F74" s="26" t="s">
        <v>84</v>
      </c>
      <c r="G74" s="16" t="s">
        <v>85</v>
      </c>
      <c r="H74" s="31">
        <v>61.3</v>
      </c>
      <c r="I74" s="31">
        <v>65.3</v>
      </c>
      <c r="J74" s="16" t="s">
        <v>40</v>
      </c>
    </row>
    <row r="75" spans="1:10">
      <c r="A75" s="19">
        <v>71</v>
      </c>
      <c r="B75" s="16" t="s">
        <v>166</v>
      </c>
      <c r="C75" s="16" t="s">
        <v>189</v>
      </c>
      <c r="D75" s="24" t="s">
        <v>190</v>
      </c>
      <c r="E75" s="25">
        <v>2688</v>
      </c>
      <c r="F75" s="26" t="s">
        <v>169</v>
      </c>
      <c r="G75" s="16" t="s">
        <v>170</v>
      </c>
      <c r="H75" s="31">
        <v>89.8</v>
      </c>
      <c r="I75" s="31">
        <v>96.4</v>
      </c>
      <c r="J75" s="16" t="s">
        <v>40</v>
      </c>
    </row>
    <row r="76" spans="1:10">
      <c r="A76" s="19">
        <v>72</v>
      </c>
      <c r="B76" s="16" t="s">
        <v>166</v>
      </c>
      <c r="C76" s="16" t="s">
        <v>191</v>
      </c>
      <c r="D76" s="24" t="s">
        <v>192</v>
      </c>
      <c r="E76" s="25">
        <v>1366</v>
      </c>
      <c r="F76" s="26" t="s">
        <v>169</v>
      </c>
      <c r="G76" s="16" t="s">
        <v>170</v>
      </c>
      <c r="H76" s="31">
        <v>55.1</v>
      </c>
      <c r="I76" s="31">
        <v>63.6</v>
      </c>
      <c r="J76" s="16" t="s">
        <v>40</v>
      </c>
    </row>
    <row r="77" spans="1:10">
      <c r="A77" s="19">
        <v>73</v>
      </c>
      <c r="B77" s="16" t="s">
        <v>193</v>
      </c>
      <c r="C77" s="16" t="s">
        <v>194</v>
      </c>
      <c r="D77" s="24"/>
      <c r="E77" s="25">
        <v>0</v>
      </c>
      <c r="F77" s="26" t="s">
        <v>84</v>
      </c>
      <c r="G77" s="16" t="s">
        <v>85</v>
      </c>
      <c r="H77" s="31">
        <v>65.099999999999994</v>
      </c>
      <c r="I77" s="31">
        <v>70.2</v>
      </c>
      <c r="J77" s="16" t="s">
        <v>40</v>
      </c>
    </row>
    <row r="78" spans="1:10">
      <c r="A78" s="19">
        <v>74</v>
      </c>
      <c r="B78" s="16" t="s">
        <v>166</v>
      </c>
      <c r="C78" s="16" t="s">
        <v>195</v>
      </c>
      <c r="D78" s="24" t="s">
        <v>196</v>
      </c>
      <c r="E78" s="25">
        <v>855</v>
      </c>
      <c r="F78" s="26" t="s">
        <v>169</v>
      </c>
      <c r="G78" s="16" t="s">
        <v>170</v>
      </c>
      <c r="H78" s="31">
        <v>59.9</v>
      </c>
      <c r="I78" s="31">
        <v>65.099999999999994</v>
      </c>
      <c r="J78" s="16" t="s">
        <v>40</v>
      </c>
    </row>
    <row r="79" spans="1:10">
      <c r="A79" s="19">
        <v>75</v>
      </c>
      <c r="B79" s="16" t="s">
        <v>166</v>
      </c>
      <c r="C79" s="16" t="s">
        <v>197</v>
      </c>
      <c r="D79" s="24" t="s">
        <v>198</v>
      </c>
      <c r="E79" s="25">
        <v>2054</v>
      </c>
      <c r="F79" s="26" t="s">
        <v>169</v>
      </c>
      <c r="G79" s="16" t="s">
        <v>170</v>
      </c>
      <c r="H79" s="31">
        <v>73.599999999999994</v>
      </c>
      <c r="I79" s="31">
        <v>79</v>
      </c>
      <c r="J79" s="16" t="s">
        <v>40</v>
      </c>
    </row>
    <row r="80" spans="1:10">
      <c r="A80" s="19">
        <v>76</v>
      </c>
      <c r="B80" s="16" t="s">
        <v>166</v>
      </c>
      <c r="C80" s="16" t="s">
        <v>199</v>
      </c>
      <c r="D80" s="24" t="s">
        <v>200</v>
      </c>
      <c r="E80" s="25">
        <v>2135</v>
      </c>
      <c r="F80" s="26" t="s">
        <v>45</v>
      </c>
      <c r="G80" s="16" t="s">
        <v>46</v>
      </c>
      <c r="H80" s="31">
        <v>44.3</v>
      </c>
      <c r="I80" s="31">
        <v>52.1</v>
      </c>
      <c r="J80" s="16" t="s">
        <v>40</v>
      </c>
    </row>
    <row r="81" spans="1:10">
      <c r="A81" s="19">
        <v>77</v>
      </c>
      <c r="B81" s="16" t="s">
        <v>166</v>
      </c>
      <c r="C81" s="16" t="s">
        <v>170</v>
      </c>
      <c r="D81" s="24" t="s">
        <v>201</v>
      </c>
      <c r="E81" s="25">
        <v>13458</v>
      </c>
      <c r="F81" s="26" t="s">
        <v>169</v>
      </c>
      <c r="G81" s="16" t="s">
        <v>170</v>
      </c>
      <c r="H81" s="31">
        <v>73.400000000000006</v>
      </c>
      <c r="I81" s="31">
        <v>78.5</v>
      </c>
      <c r="J81" s="16" t="s">
        <v>40</v>
      </c>
    </row>
    <row r="82" spans="1:10">
      <c r="A82" s="19">
        <v>78</v>
      </c>
      <c r="B82" s="16" t="s">
        <v>166</v>
      </c>
      <c r="C82" s="16" t="s">
        <v>202</v>
      </c>
      <c r="D82" s="24" t="s">
        <v>203</v>
      </c>
      <c r="E82" s="25">
        <v>1222</v>
      </c>
      <c r="F82" s="26" t="s">
        <v>169</v>
      </c>
      <c r="G82" s="16" t="s">
        <v>170</v>
      </c>
      <c r="H82" s="31">
        <v>76.7</v>
      </c>
      <c r="I82" s="31">
        <v>84.7</v>
      </c>
      <c r="J82" s="16" t="s">
        <v>40</v>
      </c>
    </row>
    <row r="83" spans="1:10">
      <c r="A83" s="19">
        <v>79</v>
      </c>
      <c r="B83" s="16" t="s">
        <v>166</v>
      </c>
      <c r="C83" s="16" t="s">
        <v>204</v>
      </c>
      <c r="D83" s="24" t="s">
        <v>205</v>
      </c>
      <c r="E83" s="25">
        <v>1174</v>
      </c>
      <c r="F83" s="26" t="s">
        <v>169</v>
      </c>
      <c r="G83" s="16" t="s">
        <v>170</v>
      </c>
      <c r="H83" s="31">
        <v>86.8</v>
      </c>
      <c r="I83" s="31">
        <v>93.1</v>
      </c>
      <c r="J83" s="16" t="s">
        <v>40</v>
      </c>
    </row>
    <row r="84" spans="1:10">
      <c r="A84" s="19">
        <v>80</v>
      </c>
      <c r="B84" s="16" t="s">
        <v>166</v>
      </c>
      <c r="C84" s="16" t="s">
        <v>206</v>
      </c>
      <c r="D84" s="24" t="s">
        <v>207</v>
      </c>
      <c r="E84" s="25">
        <v>1676</v>
      </c>
      <c r="F84" s="26" t="s">
        <v>169</v>
      </c>
      <c r="G84" s="16" t="s">
        <v>170</v>
      </c>
      <c r="H84" s="31">
        <v>72.5</v>
      </c>
      <c r="I84" s="31">
        <v>74.900000000000006</v>
      </c>
      <c r="J84" s="16" t="s">
        <v>40</v>
      </c>
    </row>
    <row r="85" spans="1:10">
      <c r="A85" s="19">
        <v>81</v>
      </c>
      <c r="B85" s="16" t="s">
        <v>166</v>
      </c>
      <c r="C85" s="16" t="s">
        <v>208</v>
      </c>
      <c r="D85" s="24" t="s">
        <v>209</v>
      </c>
      <c r="E85" s="25">
        <v>1777</v>
      </c>
      <c r="F85" s="26" t="s">
        <v>169</v>
      </c>
      <c r="G85" s="16" t="s">
        <v>170</v>
      </c>
      <c r="H85" s="31">
        <v>73.8</v>
      </c>
      <c r="I85" s="31">
        <v>76.3</v>
      </c>
      <c r="J85" s="16" t="s">
        <v>40</v>
      </c>
    </row>
    <row r="86" spans="1:10">
      <c r="A86" s="19">
        <v>82</v>
      </c>
      <c r="B86" s="16" t="s">
        <v>193</v>
      </c>
      <c r="C86" s="16" t="s">
        <v>210</v>
      </c>
      <c r="D86" s="24"/>
      <c r="E86" s="25">
        <v>0</v>
      </c>
      <c r="F86" s="26" t="s">
        <v>169</v>
      </c>
      <c r="G86" s="16" t="s">
        <v>170</v>
      </c>
      <c r="H86" s="31">
        <v>83.1</v>
      </c>
      <c r="I86" s="31">
        <v>89.7</v>
      </c>
      <c r="J86" s="16" t="s">
        <v>40</v>
      </c>
    </row>
    <row r="87" spans="1:10">
      <c r="A87" s="19">
        <v>83</v>
      </c>
      <c r="B87" s="16" t="s">
        <v>193</v>
      </c>
      <c r="C87" s="16" t="s">
        <v>211</v>
      </c>
      <c r="D87" s="24"/>
      <c r="E87" s="25">
        <v>0</v>
      </c>
      <c r="F87" s="26" t="s">
        <v>169</v>
      </c>
      <c r="G87" s="16" t="s">
        <v>170</v>
      </c>
      <c r="H87" s="31">
        <v>100.9</v>
      </c>
      <c r="I87" s="31">
        <v>103.3</v>
      </c>
      <c r="J87" s="16" t="s">
        <v>40</v>
      </c>
    </row>
    <row r="88" spans="1:10">
      <c r="A88" s="19">
        <v>84</v>
      </c>
      <c r="B88" s="16" t="s">
        <v>212</v>
      </c>
      <c r="C88" s="16" t="s">
        <v>213</v>
      </c>
      <c r="D88" s="24" t="s">
        <v>214</v>
      </c>
      <c r="E88" s="25">
        <v>1010</v>
      </c>
      <c r="F88" s="26" t="s">
        <v>215</v>
      </c>
      <c r="G88" s="16" t="s">
        <v>216</v>
      </c>
      <c r="H88" s="31">
        <v>42.3</v>
      </c>
      <c r="I88" s="31">
        <v>51.8</v>
      </c>
      <c r="J88" s="16" t="s">
        <v>40</v>
      </c>
    </row>
    <row r="89" spans="1:10">
      <c r="A89" s="19">
        <v>85</v>
      </c>
      <c r="B89" s="16" t="s">
        <v>212</v>
      </c>
      <c r="C89" s="16" t="s">
        <v>217</v>
      </c>
      <c r="D89" s="24" t="s">
        <v>218</v>
      </c>
      <c r="E89" s="25">
        <v>409</v>
      </c>
      <c r="F89" s="26" t="s">
        <v>45</v>
      </c>
      <c r="G89" s="16" t="s">
        <v>46</v>
      </c>
      <c r="H89" s="31">
        <v>43.8</v>
      </c>
      <c r="I89" s="31">
        <v>50.4</v>
      </c>
      <c r="J89" s="16" t="s">
        <v>40</v>
      </c>
    </row>
    <row r="90" spans="1:10">
      <c r="A90" s="19">
        <v>86</v>
      </c>
      <c r="B90" s="16" t="s">
        <v>212</v>
      </c>
      <c r="C90" s="16" t="s">
        <v>219</v>
      </c>
      <c r="D90" s="24" t="s">
        <v>220</v>
      </c>
      <c r="E90" s="25">
        <v>882</v>
      </c>
      <c r="F90" s="26" t="s">
        <v>45</v>
      </c>
      <c r="G90" s="16" t="s">
        <v>46</v>
      </c>
      <c r="H90" s="31">
        <v>40.1</v>
      </c>
      <c r="I90" s="31">
        <v>50.2</v>
      </c>
      <c r="J90" s="16" t="s">
        <v>40</v>
      </c>
    </row>
    <row r="91" spans="1:10">
      <c r="A91" s="19">
        <v>87</v>
      </c>
      <c r="B91" s="16" t="s">
        <v>212</v>
      </c>
      <c r="C91" s="16" t="s">
        <v>221</v>
      </c>
      <c r="D91" s="24" t="s">
        <v>222</v>
      </c>
      <c r="E91" s="25">
        <v>1088</v>
      </c>
      <c r="F91" s="26" t="s">
        <v>45</v>
      </c>
      <c r="G91" s="16" t="s">
        <v>46</v>
      </c>
      <c r="H91" s="31">
        <v>36.9</v>
      </c>
      <c r="I91" s="31">
        <v>46.9</v>
      </c>
      <c r="J91" s="16" t="s">
        <v>40</v>
      </c>
    </row>
    <row r="92" spans="1:10">
      <c r="A92" s="19">
        <v>88</v>
      </c>
      <c r="B92" s="16" t="s">
        <v>212</v>
      </c>
      <c r="C92" s="16" t="s">
        <v>223</v>
      </c>
      <c r="D92" s="24" t="s">
        <v>224</v>
      </c>
      <c r="E92" s="25">
        <v>2512</v>
      </c>
      <c r="F92" s="26" t="s">
        <v>215</v>
      </c>
      <c r="G92" s="16" t="s">
        <v>216</v>
      </c>
      <c r="H92" s="31">
        <v>42.5</v>
      </c>
      <c r="I92" s="31">
        <v>51.9</v>
      </c>
      <c r="J92" s="16" t="s">
        <v>40</v>
      </c>
    </row>
    <row r="93" spans="1:10">
      <c r="A93" s="19">
        <v>89</v>
      </c>
      <c r="B93" s="16" t="s">
        <v>212</v>
      </c>
      <c r="C93" s="16" t="s">
        <v>225</v>
      </c>
      <c r="D93" s="24" t="s">
        <v>226</v>
      </c>
      <c r="E93" s="25">
        <v>400</v>
      </c>
      <c r="F93" s="26" t="s">
        <v>215</v>
      </c>
      <c r="G93" s="16" t="s">
        <v>216</v>
      </c>
      <c r="H93" s="31">
        <v>38.200000000000003</v>
      </c>
      <c r="I93" s="31">
        <v>43.3</v>
      </c>
      <c r="J93" s="16" t="s">
        <v>40</v>
      </c>
    </row>
    <row r="94" spans="1:10">
      <c r="A94" s="19">
        <v>90</v>
      </c>
      <c r="B94" s="16" t="s">
        <v>227</v>
      </c>
      <c r="C94" s="16" t="s">
        <v>228</v>
      </c>
      <c r="D94" s="24" t="s">
        <v>229</v>
      </c>
      <c r="E94" s="25">
        <v>1977</v>
      </c>
      <c r="F94" s="26" t="s">
        <v>84</v>
      </c>
      <c r="G94" s="16" t="s">
        <v>85</v>
      </c>
      <c r="H94" s="31">
        <v>29.1</v>
      </c>
      <c r="I94" s="31">
        <v>31.7</v>
      </c>
      <c r="J94" s="16" t="s">
        <v>40</v>
      </c>
    </row>
    <row r="95" spans="1:10">
      <c r="A95" s="19">
        <v>91</v>
      </c>
      <c r="B95" s="16" t="s">
        <v>227</v>
      </c>
      <c r="C95" s="16" t="s">
        <v>230</v>
      </c>
      <c r="D95" s="24" t="s">
        <v>231</v>
      </c>
      <c r="E95" s="25">
        <v>2738</v>
      </c>
      <c r="F95" s="26" t="s">
        <v>84</v>
      </c>
      <c r="G95" s="16" t="s">
        <v>85</v>
      </c>
      <c r="H95" s="31">
        <v>30.4</v>
      </c>
      <c r="I95" s="31">
        <v>30.3</v>
      </c>
      <c r="J95" s="16" t="s">
        <v>40</v>
      </c>
    </row>
    <row r="96" spans="1:10">
      <c r="A96" s="19">
        <v>92</v>
      </c>
      <c r="B96" s="16" t="s">
        <v>227</v>
      </c>
      <c r="C96" s="16" t="s">
        <v>232</v>
      </c>
      <c r="D96" s="24" t="s">
        <v>233</v>
      </c>
      <c r="E96" s="25">
        <v>1560</v>
      </c>
      <c r="F96" s="26" t="s">
        <v>38</v>
      </c>
      <c r="G96" s="16" t="s">
        <v>39</v>
      </c>
      <c r="H96" s="31">
        <v>22.9</v>
      </c>
      <c r="I96" s="31">
        <v>21.9</v>
      </c>
      <c r="J96" s="16" t="s">
        <v>40</v>
      </c>
    </row>
    <row r="97" spans="1:10">
      <c r="A97" s="19">
        <v>93</v>
      </c>
      <c r="B97" s="16" t="s">
        <v>227</v>
      </c>
      <c r="C97" s="16" t="s">
        <v>234</v>
      </c>
      <c r="D97" s="24" t="s">
        <v>235</v>
      </c>
      <c r="E97" s="25">
        <v>2312</v>
      </c>
      <c r="F97" s="26" t="s">
        <v>77</v>
      </c>
      <c r="G97" s="16" t="s">
        <v>78</v>
      </c>
      <c r="H97" s="31">
        <v>20.399999999999999</v>
      </c>
      <c r="I97" s="31">
        <v>22.9</v>
      </c>
      <c r="J97" s="16" t="s">
        <v>40</v>
      </c>
    </row>
    <row r="98" spans="1:10">
      <c r="A98" s="19">
        <v>94</v>
      </c>
      <c r="B98" s="16" t="s">
        <v>227</v>
      </c>
      <c r="C98" s="16" t="s">
        <v>236</v>
      </c>
      <c r="D98" s="24" t="s">
        <v>237</v>
      </c>
      <c r="E98" s="25">
        <v>883</v>
      </c>
      <c r="F98" s="26" t="s">
        <v>38</v>
      </c>
      <c r="G98" s="16" t="s">
        <v>39</v>
      </c>
      <c r="H98" s="31">
        <v>19.600000000000001</v>
      </c>
      <c r="I98" s="31">
        <v>18</v>
      </c>
      <c r="J98" s="16" t="s">
        <v>40</v>
      </c>
    </row>
    <row r="99" spans="1:10">
      <c r="A99" s="19">
        <v>95</v>
      </c>
      <c r="B99" s="16" t="s">
        <v>227</v>
      </c>
      <c r="C99" s="16" t="s">
        <v>238</v>
      </c>
      <c r="D99" s="24" t="s">
        <v>239</v>
      </c>
      <c r="E99" s="25">
        <v>2617</v>
      </c>
      <c r="F99" s="26" t="s">
        <v>38</v>
      </c>
      <c r="G99" s="16" t="s">
        <v>39</v>
      </c>
      <c r="H99" s="31">
        <v>19</v>
      </c>
      <c r="I99" s="31">
        <v>20.3</v>
      </c>
      <c r="J99" s="16" t="s">
        <v>40</v>
      </c>
    </row>
    <row r="100" spans="1:10">
      <c r="A100" s="19">
        <v>96</v>
      </c>
      <c r="B100" s="16" t="s">
        <v>227</v>
      </c>
      <c r="C100" s="16" t="s">
        <v>240</v>
      </c>
      <c r="D100" s="24" t="s">
        <v>241</v>
      </c>
      <c r="E100" s="25">
        <v>1713</v>
      </c>
      <c r="F100" s="26" t="s">
        <v>77</v>
      </c>
      <c r="G100" s="16" t="s">
        <v>78</v>
      </c>
      <c r="H100" s="31">
        <v>18.600000000000001</v>
      </c>
      <c r="I100" s="31">
        <v>19.7</v>
      </c>
      <c r="J100" s="16" t="s">
        <v>40</v>
      </c>
    </row>
    <row r="101" spans="1:10">
      <c r="A101" s="19">
        <v>97</v>
      </c>
      <c r="B101" s="16" t="s">
        <v>227</v>
      </c>
      <c r="C101" s="16" t="s">
        <v>242</v>
      </c>
      <c r="D101" s="24" t="s">
        <v>243</v>
      </c>
      <c r="E101" s="25">
        <v>2128</v>
      </c>
      <c r="F101" s="26" t="s">
        <v>38</v>
      </c>
      <c r="G101" s="16" t="s">
        <v>39</v>
      </c>
      <c r="H101" s="31">
        <v>20</v>
      </c>
      <c r="I101" s="31">
        <v>20</v>
      </c>
      <c r="J101" s="16" t="s">
        <v>40</v>
      </c>
    </row>
    <row r="102" spans="1:10">
      <c r="A102" s="19">
        <v>98</v>
      </c>
      <c r="B102" s="16" t="s">
        <v>227</v>
      </c>
      <c r="C102" s="16" t="s">
        <v>244</v>
      </c>
      <c r="D102" s="24" t="s">
        <v>245</v>
      </c>
      <c r="E102" s="25">
        <v>1750</v>
      </c>
      <c r="F102" s="26" t="s">
        <v>84</v>
      </c>
      <c r="G102" s="16" t="s">
        <v>85</v>
      </c>
      <c r="H102" s="31">
        <v>32.6</v>
      </c>
      <c r="I102" s="31">
        <v>33.9</v>
      </c>
      <c r="J102" s="16" t="s">
        <v>40</v>
      </c>
    </row>
    <row r="103" spans="1:10">
      <c r="A103" s="19">
        <v>99</v>
      </c>
      <c r="B103" s="16" t="s">
        <v>227</v>
      </c>
      <c r="C103" s="16" t="s">
        <v>246</v>
      </c>
      <c r="D103" s="24" t="s">
        <v>247</v>
      </c>
      <c r="E103" s="25">
        <v>885</v>
      </c>
      <c r="F103" s="26" t="s">
        <v>77</v>
      </c>
      <c r="G103" s="16" t="s">
        <v>78</v>
      </c>
      <c r="H103" s="31">
        <v>23.6</v>
      </c>
      <c r="I103" s="31">
        <v>27.3</v>
      </c>
      <c r="J103" s="16" t="s">
        <v>40</v>
      </c>
    </row>
    <row r="104" spans="1:10">
      <c r="A104" s="19">
        <v>100</v>
      </c>
      <c r="B104" s="16" t="s">
        <v>227</v>
      </c>
      <c r="C104" s="16" t="s">
        <v>248</v>
      </c>
      <c r="D104" s="24" t="s">
        <v>249</v>
      </c>
      <c r="E104" s="25">
        <v>1865</v>
      </c>
      <c r="F104" s="26" t="s">
        <v>77</v>
      </c>
      <c r="G104" s="16" t="s">
        <v>78</v>
      </c>
      <c r="H104" s="31">
        <v>29.1</v>
      </c>
      <c r="I104" s="31">
        <v>32.200000000000003</v>
      </c>
      <c r="J104" s="16" t="s">
        <v>40</v>
      </c>
    </row>
    <row r="105" spans="1:10">
      <c r="A105" s="19">
        <v>101</v>
      </c>
      <c r="B105" s="16" t="s">
        <v>227</v>
      </c>
      <c r="C105" s="16" t="s">
        <v>250</v>
      </c>
      <c r="D105" s="24" t="s">
        <v>251</v>
      </c>
      <c r="E105" s="25">
        <v>4305</v>
      </c>
      <c r="F105" s="26" t="s">
        <v>84</v>
      </c>
      <c r="G105" s="16" t="s">
        <v>85</v>
      </c>
      <c r="H105" s="31">
        <v>38</v>
      </c>
      <c r="I105" s="31">
        <v>40.6</v>
      </c>
      <c r="J105" s="16" t="s">
        <v>40</v>
      </c>
    </row>
    <row r="106" spans="1:10">
      <c r="A106" s="19">
        <v>102</v>
      </c>
      <c r="B106" s="16" t="s">
        <v>227</v>
      </c>
      <c r="C106" s="16" t="s">
        <v>252</v>
      </c>
      <c r="D106" s="24" t="s">
        <v>253</v>
      </c>
      <c r="E106" s="25">
        <v>4636</v>
      </c>
      <c r="F106" s="26" t="s">
        <v>38</v>
      </c>
      <c r="G106" s="16" t="s">
        <v>39</v>
      </c>
      <c r="H106" s="31">
        <v>16.3</v>
      </c>
      <c r="I106" s="31">
        <v>17</v>
      </c>
      <c r="J106" s="16" t="s">
        <v>40</v>
      </c>
    </row>
    <row r="107" spans="1:10">
      <c r="A107" s="19">
        <v>103</v>
      </c>
      <c r="B107" s="16" t="s">
        <v>227</v>
      </c>
      <c r="C107" s="16" t="s">
        <v>254</v>
      </c>
      <c r="D107" s="24" t="s">
        <v>255</v>
      </c>
      <c r="E107" s="25">
        <v>1550</v>
      </c>
      <c r="F107" s="26" t="s">
        <v>77</v>
      </c>
      <c r="G107" s="16" t="s">
        <v>78</v>
      </c>
      <c r="H107" s="31">
        <v>28.3</v>
      </c>
      <c r="I107" s="31">
        <v>31.8</v>
      </c>
      <c r="J107" s="16" t="s">
        <v>40</v>
      </c>
    </row>
    <row r="108" spans="1:10">
      <c r="A108" s="19">
        <v>104</v>
      </c>
      <c r="B108" s="16" t="s">
        <v>227</v>
      </c>
      <c r="C108" s="16" t="s">
        <v>78</v>
      </c>
      <c r="D108" s="24" t="s">
        <v>256</v>
      </c>
      <c r="E108" s="25">
        <v>5844</v>
      </c>
      <c r="F108" s="26" t="s">
        <v>77</v>
      </c>
      <c r="G108" s="16" t="s">
        <v>78</v>
      </c>
      <c r="H108" s="31">
        <v>25.7</v>
      </c>
      <c r="I108" s="31">
        <v>33.4</v>
      </c>
      <c r="J108" s="16" t="s">
        <v>40</v>
      </c>
    </row>
    <row r="109" spans="1:10">
      <c r="A109" s="19">
        <v>105</v>
      </c>
      <c r="B109" s="16" t="s">
        <v>227</v>
      </c>
      <c r="C109" s="16" t="s">
        <v>257</v>
      </c>
      <c r="D109" s="24" t="s">
        <v>258</v>
      </c>
      <c r="E109" s="25">
        <v>1903</v>
      </c>
      <c r="F109" s="26" t="s">
        <v>77</v>
      </c>
      <c r="G109" s="16" t="s">
        <v>78</v>
      </c>
      <c r="H109" s="31">
        <v>34.6</v>
      </c>
      <c r="I109" s="31">
        <v>36.9</v>
      </c>
      <c r="J109" s="16" t="s">
        <v>40</v>
      </c>
    </row>
    <row r="110" spans="1:10">
      <c r="A110" s="19">
        <v>106</v>
      </c>
      <c r="B110" s="16" t="s">
        <v>227</v>
      </c>
      <c r="C110" s="16" t="s">
        <v>259</v>
      </c>
      <c r="D110" s="24" t="s">
        <v>260</v>
      </c>
      <c r="E110" s="25">
        <v>1427</v>
      </c>
      <c r="F110" s="26" t="s">
        <v>77</v>
      </c>
      <c r="G110" s="16" t="s">
        <v>78</v>
      </c>
      <c r="H110" s="31">
        <v>20.7</v>
      </c>
      <c r="I110" s="31">
        <v>21.8</v>
      </c>
      <c r="J110" s="16" t="s">
        <v>40</v>
      </c>
    </row>
    <row r="111" spans="1:10">
      <c r="A111" s="19">
        <v>107</v>
      </c>
      <c r="B111" s="16" t="s">
        <v>261</v>
      </c>
      <c r="C111" s="16" t="s">
        <v>262</v>
      </c>
      <c r="D111" s="24" t="s">
        <v>263</v>
      </c>
      <c r="E111" s="25">
        <v>4481</v>
      </c>
      <c r="F111" s="26" t="s">
        <v>77</v>
      </c>
      <c r="G111" s="16" t="s">
        <v>78</v>
      </c>
      <c r="H111" s="31">
        <v>45.7</v>
      </c>
      <c r="I111" s="31">
        <v>48.8</v>
      </c>
      <c r="J111" s="16" t="s">
        <v>40</v>
      </c>
    </row>
    <row r="112" spans="1:10">
      <c r="A112" s="19">
        <v>108</v>
      </c>
      <c r="B112" s="16" t="s">
        <v>261</v>
      </c>
      <c r="C112" s="16" t="s">
        <v>264</v>
      </c>
      <c r="D112" s="24" t="s">
        <v>265</v>
      </c>
      <c r="E112" s="25">
        <v>2506</v>
      </c>
      <c r="F112" s="26" t="s">
        <v>77</v>
      </c>
      <c r="G112" s="16" t="s">
        <v>78</v>
      </c>
      <c r="H112" s="31">
        <v>42.4</v>
      </c>
      <c r="I112" s="31">
        <v>46.2</v>
      </c>
      <c r="J112" s="16" t="s">
        <v>40</v>
      </c>
    </row>
    <row r="113" spans="1:10">
      <c r="A113" s="19">
        <v>109</v>
      </c>
      <c r="B113" s="16" t="s">
        <v>261</v>
      </c>
      <c r="C113" s="16" t="s">
        <v>266</v>
      </c>
      <c r="D113" s="24" t="s">
        <v>267</v>
      </c>
      <c r="E113" s="25">
        <v>2472</v>
      </c>
      <c r="F113" s="26" t="s">
        <v>77</v>
      </c>
      <c r="G113" s="16" t="s">
        <v>78</v>
      </c>
      <c r="H113" s="31">
        <v>40.700000000000003</v>
      </c>
      <c r="I113" s="31">
        <v>44.9</v>
      </c>
      <c r="J113" s="16" t="s">
        <v>40</v>
      </c>
    </row>
    <row r="114" spans="1:10">
      <c r="A114" s="19">
        <v>110</v>
      </c>
      <c r="B114" s="16" t="s">
        <v>261</v>
      </c>
      <c r="C114" s="16" t="s">
        <v>268</v>
      </c>
      <c r="D114" s="24" t="s">
        <v>269</v>
      </c>
      <c r="E114" s="25">
        <v>2312</v>
      </c>
      <c r="F114" s="26" t="s">
        <v>77</v>
      </c>
      <c r="G114" s="16" t="s">
        <v>78</v>
      </c>
      <c r="H114" s="31">
        <v>33</v>
      </c>
      <c r="I114" s="31">
        <v>42.8</v>
      </c>
      <c r="J114" s="16" t="s">
        <v>40</v>
      </c>
    </row>
    <row r="115" spans="1:10">
      <c r="A115" s="19">
        <v>111</v>
      </c>
      <c r="B115" s="16" t="s">
        <v>270</v>
      </c>
      <c r="C115" s="16" t="s">
        <v>271</v>
      </c>
      <c r="D115" s="24" t="s">
        <v>272</v>
      </c>
      <c r="E115" s="25">
        <v>955</v>
      </c>
      <c r="F115" s="26" t="s">
        <v>215</v>
      </c>
      <c r="G115" s="16" t="s">
        <v>216</v>
      </c>
      <c r="H115" s="31">
        <v>51</v>
      </c>
      <c r="I115" s="31">
        <v>57.7</v>
      </c>
      <c r="J115" s="16" t="s">
        <v>40</v>
      </c>
    </row>
    <row r="116" spans="1:10">
      <c r="A116" s="19">
        <v>112</v>
      </c>
      <c r="B116" s="16" t="s">
        <v>270</v>
      </c>
      <c r="C116" s="16" t="s">
        <v>273</v>
      </c>
      <c r="D116" s="24" t="s">
        <v>274</v>
      </c>
      <c r="E116" s="25">
        <v>1530</v>
      </c>
      <c r="F116" s="26" t="s">
        <v>215</v>
      </c>
      <c r="G116" s="16" t="s">
        <v>216</v>
      </c>
      <c r="H116" s="31">
        <v>55.5</v>
      </c>
      <c r="I116" s="31">
        <v>64</v>
      </c>
      <c r="J116" s="16" t="s">
        <v>40</v>
      </c>
    </row>
    <row r="117" spans="1:10">
      <c r="A117" s="19">
        <v>113</v>
      </c>
      <c r="B117" s="16" t="s">
        <v>270</v>
      </c>
      <c r="C117" s="16" t="s">
        <v>275</v>
      </c>
      <c r="D117" s="24" t="s">
        <v>276</v>
      </c>
      <c r="E117" s="25">
        <v>2045</v>
      </c>
      <c r="F117" s="26" t="s">
        <v>277</v>
      </c>
      <c r="G117" s="16" t="s">
        <v>278</v>
      </c>
      <c r="H117" s="31">
        <v>56.5</v>
      </c>
      <c r="I117" s="31">
        <v>66.8</v>
      </c>
      <c r="J117" s="16" t="s">
        <v>40</v>
      </c>
    </row>
    <row r="118" spans="1:10">
      <c r="A118" s="19">
        <v>114</v>
      </c>
      <c r="B118" s="16" t="s">
        <v>270</v>
      </c>
      <c r="C118" s="16" t="s">
        <v>279</v>
      </c>
      <c r="D118" s="24" t="s">
        <v>280</v>
      </c>
      <c r="E118" s="25">
        <v>2147</v>
      </c>
      <c r="F118" s="26" t="s">
        <v>215</v>
      </c>
      <c r="G118" s="16" t="s">
        <v>216</v>
      </c>
      <c r="H118" s="31">
        <v>29.8</v>
      </c>
      <c r="I118" s="31">
        <v>34.9</v>
      </c>
      <c r="J118" s="16" t="s">
        <v>40</v>
      </c>
    </row>
    <row r="119" spans="1:10">
      <c r="A119" s="19">
        <v>115</v>
      </c>
      <c r="B119" s="16" t="s">
        <v>270</v>
      </c>
      <c r="C119" s="16" t="s">
        <v>281</v>
      </c>
      <c r="D119" s="24" t="s">
        <v>282</v>
      </c>
      <c r="E119" s="25">
        <v>1342</v>
      </c>
      <c r="F119" s="26" t="s">
        <v>215</v>
      </c>
      <c r="G119" s="16" t="s">
        <v>216</v>
      </c>
      <c r="H119" s="31">
        <v>47.8</v>
      </c>
      <c r="I119" s="31">
        <v>55.9</v>
      </c>
      <c r="J119" s="16" t="s">
        <v>40</v>
      </c>
    </row>
    <row r="120" spans="1:10">
      <c r="A120" s="19">
        <v>116</v>
      </c>
      <c r="B120" s="16" t="s">
        <v>270</v>
      </c>
      <c r="C120" s="16" t="s">
        <v>283</v>
      </c>
      <c r="D120" s="24" t="s">
        <v>284</v>
      </c>
      <c r="E120" s="25">
        <v>2487</v>
      </c>
      <c r="F120" s="26" t="s">
        <v>215</v>
      </c>
      <c r="G120" s="16" t="s">
        <v>216</v>
      </c>
      <c r="H120" s="31">
        <v>45.1</v>
      </c>
      <c r="I120" s="31">
        <v>57.2</v>
      </c>
      <c r="J120" s="16" t="s">
        <v>40</v>
      </c>
    </row>
    <row r="121" spans="1:10">
      <c r="A121" s="19">
        <v>117</v>
      </c>
      <c r="B121" s="16" t="s">
        <v>270</v>
      </c>
      <c r="C121" s="16" t="s">
        <v>285</v>
      </c>
      <c r="D121" s="24" t="s">
        <v>286</v>
      </c>
      <c r="E121" s="25">
        <v>1553</v>
      </c>
      <c r="F121" s="26" t="s">
        <v>215</v>
      </c>
      <c r="G121" s="16" t="s">
        <v>216</v>
      </c>
      <c r="H121" s="31">
        <v>46.3</v>
      </c>
      <c r="I121" s="31">
        <v>53.8</v>
      </c>
      <c r="J121" s="16" t="s">
        <v>40</v>
      </c>
    </row>
    <row r="122" spans="1:10">
      <c r="A122" s="19">
        <v>118</v>
      </c>
      <c r="B122" s="16" t="s">
        <v>270</v>
      </c>
      <c r="C122" s="16" t="s">
        <v>287</v>
      </c>
      <c r="D122" s="24" t="s">
        <v>288</v>
      </c>
      <c r="E122" s="25">
        <v>1559</v>
      </c>
      <c r="F122" s="26" t="s">
        <v>215</v>
      </c>
      <c r="G122" s="16" t="s">
        <v>216</v>
      </c>
      <c r="H122" s="31">
        <v>33.200000000000003</v>
      </c>
      <c r="I122" s="31">
        <v>41.5</v>
      </c>
      <c r="J122" s="16" t="s">
        <v>40</v>
      </c>
    </row>
    <row r="123" spans="1:10">
      <c r="A123" s="19">
        <v>119</v>
      </c>
      <c r="B123" s="16" t="s">
        <v>270</v>
      </c>
      <c r="C123" s="16" t="s">
        <v>289</v>
      </c>
      <c r="D123" s="24" t="s">
        <v>290</v>
      </c>
      <c r="E123" s="25">
        <v>5566</v>
      </c>
      <c r="F123" s="26" t="s">
        <v>215</v>
      </c>
      <c r="G123" s="16" t="s">
        <v>216</v>
      </c>
      <c r="H123" s="31">
        <v>59.2</v>
      </c>
      <c r="I123" s="31">
        <v>66.5</v>
      </c>
      <c r="J123" s="16" t="s">
        <v>40</v>
      </c>
    </row>
    <row r="124" spans="1:10">
      <c r="A124" s="19">
        <v>120</v>
      </c>
      <c r="B124" s="16" t="s">
        <v>270</v>
      </c>
      <c r="C124" s="16" t="s">
        <v>291</v>
      </c>
      <c r="D124" s="24" t="s">
        <v>292</v>
      </c>
      <c r="E124" s="25">
        <v>2747</v>
      </c>
      <c r="F124" s="26" t="s">
        <v>277</v>
      </c>
      <c r="G124" s="16" t="s">
        <v>278</v>
      </c>
      <c r="H124" s="31">
        <v>64.599999999999994</v>
      </c>
      <c r="I124" s="31">
        <v>48.4</v>
      </c>
      <c r="J124" s="16" t="s">
        <v>293</v>
      </c>
    </row>
    <row r="125" spans="1:10">
      <c r="A125" s="19">
        <v>121</v>
      </c>
      <c r="B125" s="16" t="s">
        <v>270</v>
      </c>
      <c r="C125" s="16" t="s">
        <v>294</v>
      </c>
      <c r="D125" s="24" t="s">
        <v>295</v>
      </c>
      <c r="E125" s="25">
        <v>1270</v>
      </c>
      <c r="F125" s="26" t="s">
        <v>215</v>
      </c>
      <c r="G125" s="16" t="s">
        <v>216</v>
      </c>
      <c r="H125" s="31">
        <v>42.7</v>
      </c>
      <c r="I125" s="31">
        <v>48.4</v>
      </c>
      <c r="J125" s="16" t="s">
        <v>40</v>
      </c>
    </row>
    <row r="126" spans="1:10">
      <c r="A126" s="19">
        <v>122</v>
      </c>
      <c r="B126" s="16" t="s">
        <v>270</v>
      </c>
      <c r="C126" s="16" t="s">
        <v>296</v>
      </c>
      <c r="D126" s="24" t="s">
        <v>297</v>
      </c>
      <c r="E126" s="25">
        <v>3386</v>
      </c>
      <c r="F126" s="26" t="s">
        <v>215</v>
      </c>
      <c r="G126" s="16" t="s">
        <v>216</v>
      </c>
      <c r="H126" s="31">
        <v>46</v>
      </c>
      <c r="I126" s="31">
        <v>53.6</v>
      </c>
      <c r="J126" s="16" t="s">
        <v>40</v>
      </c>
    </row>
    <row r="127" spans="1:10">
      <c r="A127" s="19">
        <v>123</v>
      </c>
      <c r="B127" s="16" t="s">
        <v>270</v>
      </c>
      <c r="C127" s="16" t="s">
        <v>298</v>
      </c>
      <c r="D127" s="24" t="s">
        <v>299</v>
      </c>
      <c r="E127" s="25">
        <v>1531</v>
      </c>
      <c r="F127" s="26" t="s">
        <v>215</v>
      </c>
      <c r="G127" s="16" t="s">
        <v>216</v>
      </c>
      <c r="H127" s="31">
        <v>35.700000000000003</v>
      </c>
      <c r="I127" s="31">
        <v>42.8</v>
      </c>
      <c r="J127" s="16" t="s">
        <v>40</v>
      </c>
    </row>
    <row r="128" spans="1:10">
      <c r="A128" s="19">
        <v>124</v>
      </c>
      <c r="B128" s="16" t="s">
        <v>270</v>
      </c>
      <c r="C128" s="16" t="s">
        <v>300</v>
      </c>
      <c r="D128" s="24" t="s">
        <v>301</v>
      </c>
      <c r="E128" s="25">
        <v>828</v>
      </c>
      <c r="F128" s="26" t="s">
        <v>277</v>
      </c>
      <c r="G128" s="16" t="s">
        <v>278</v>
      </c>
      <c r="H128" s="31">
        <v>53.1</v>
      </c>
      <c r="I128" s="31">
        <v>73.5</v>
      </c>
      <c r="J128" s="16" t="s">
        <v>40</v>
      </c>
    </row>
    <row r="129" spans="1:10">
      <c r="A129" s="19">
        <v>125</v>
      </c>
      <c r="B129" s="16" t="s">
        <v>270</v>
      </c>
      <c r="C129" s="16" t="s">
        <v>302</v>
      </c>
      <c r="D129" s="24" t="s">
        <v>303</v>
      </c>
      <c r="E129" s="25">
        <v>882</v>
      </c>
      <c r="F129" s="26" t="s">
        <v>215</v>
      </c>
      <c r="G129" s="16" t="s">
        <v>216</v>
      </c>
      <c r="H129" s="31">
        <v>56.2</v>
      </c>
      <c r="I129" s="31">
        <v>67.7</v>
      </c>
      <c r="J129" s="16" t="s">
        <v>40</v>
      </c>
    </row>
    <row r="130" spans="1:10">
      <c r="A130" s="19">
        <v>126</v>
      </c>
      <c r="B130" s="16" t="s">
        <v>270</v>
      </c>
      <c r="C130" s="16" t="s">
        <v>242</v>
      </c>
      <c r="D130" s="24" t="s">
        <v>304</v>
      </c>
      <c r="E130" s="25">
        <v>1424</v>
      </c>
      <c r="F130" s="26" t="s">
        <v>215</v>
      </c>
      <c r="G130" s="16" t="s">
        <v>216</v>
      </c>
      <c r="H130" s="31">
        <v>53.9</v>
      </c>
      <c r="I130" s="31">
        <v>62.7</v>
      </c>
      <c r="J130" s="16" t="s">
        <v>40</v>
      </c>
    </row>
    <row r="131" spans="1:10">
      <c r="A131" s="19">
        <v>127</v>
      </c>
      <c r="B131" s="16" t="s">
        <v>270</v>
      </c>
      <c r="C131" s="16" t="s">
        <v>305</v>
      </c>
      <c r="D131" s="24" t="s">
        <v>306</v>
      </c>
      <c r="E131" s="25">
        <v>3752</v>
      </c>
      <c r="F131" s="26" t="s">
        <v>215</v>
      </c>
      <c r="G131" s="16" t="s">
        <v>216</v>
      </c>
      <c r="H131" s="31">
        <v>42.2</v>
      </c>
      <c r="I131" s="31">
        <v>50.8</v>
      </c>
      <c r="J131" s="16" t="s">
        <v>40</v>
      </c>
    </row>
    <row r="132" spans="1:10">
      <c r="A132" s="19">
        <v>128</v>
      </c>
      <c r="B132" s="16" t="s">
        <v>270</v>
      </c>
      <c r="C132" s="16" t="s">
        <v>307</v>
      </c>
      <c r="D132" s="24" t="s">
        <v>308</v>
      </c>
      <c r="E132" s="25">
        <v>960</v>
      </c>
      <c r="F132" s="26" t="s">
        <v>277</v>
      </c>
      <c r="G132" s="16" t="s">
        <v>278</v>
      </c>
      <c r="H132" s="31">
        <v>53.2</v>
      </c>
      <c r="I132" s="31">
        <v>71.2</v>
      </c>
      <c r="J132" s="16" t="s">
        <v>40</v>
      </c>
    </row>
    <row r="133" spans="1:10">
      <c r="A133" s="19">
        <v>129</v>
      </c>
      <c r="B133" s="16" t="s">
        <v>270</v>
      </c>
      <c r="C133" s="16" t="s">
        <v>309</v>
      </c>
      <c r="D133" s="24" t="s">
        <v>310</v>
      </c>
      <c r="E133" s="25">
        <v>535</v>
      </c>
      <c r="F133" s="26" t="s">
        <v>215</v>
      </c>
      <c r="G133" s="16" t="s">
        <v>216</v>
      </c>
      <c r="H133" s="31">
        <v>34.200000000000003</v>
      </c>
      <c r="I133" s="31">
        <v>38.799999999999997</v>
      </c>
      <c r="J133" s="16" t="s">
        <v>40</v>
      </c>
    </row>
    <row r="134" spans="1:10">
      <c r="A134" s="19">
        <v>130</v>
      </c>
      <c r="B134" s="16" t="s">
        <v>270</v>
      </c>
      <c r="C134" s="16" t="s">
        <v>311</v>
      </c>
      <c r="D134" s="24" t="s">
        <v>312</v>
      </c>
      <c r="E134" s="25">
        <v>1591</v>
      </c>
      <c r="F134" s="26" t="s">
        <v>215</v>
      </c>
      <c r="G134" s="16" t="s">
        <v>216</v>
      </c>
      <c r="H134" s="31">
        <v>25.9</v>
      </c>
      <c r="I134" s="31">
        <v>29.6</v>
      </c>
      <c r="J134" s="16" t="s">
        <v>40</v>
      </c>
    </row>
    <row r="135" spans="1:10">
      <c r="A135" s="19">
        <v>131</v>
      </c>
      <c r="B135" s="16" t="s">
        <v>270</v>
      </c>
      <c r="C135" s="16" t="s">
        <v>313</v>
      </c>
      <c r="D135" s="24" t="s">
        <v>314</v>
      </c>
      <c r="E135" s="25">
        <v>2323</v>
      </c>
      <c r="F135" s="26" t="s">
        <v>215</v>
      </c>
      <c r="G135" s="16" t="s">
        <v>216</v>
      </c>
      <c r="H135" s="31">
        <v>38</v>
      </c>
      <c r="I135" s="31">
        <v>43.2</v>
      </c>
      <c r="J135" s="16" t="s">
        <v>40</v>
      </c>
    </row>
    <row r="136" spans="1:10">
      <c r="A136" s="19">
        <v>132</v>
      </c>
      <c r="B136" s="16" t="s">
        <v>270</v>
      </c>
      <c r="C136" s="16" t="s">
        <v>315</v>
      </c>
      <c r="D136" s="24" t="s">
        <v>316</v>
      </c>
      <c r="E136" s="25">
        <v>941</v>
      </c>
      <c r="F136" s="26" t="s">
        <v>215</v>
      </c>
      <c r="G136" s="16" t="s">
        <v>216</v>
      </c>
      <c r="H136" s="31">
        <v>49.8</v>
      </c>
      <c r="I136" s="31">
        <v>57.6</v>
      </c>
      <c r="J136" s="16" t="s">
        <v>40</v>
      </c>
    </row>
    <row r="137" spans="1:10">
      <c r="A137" s="19">
        <v>133</v>
      </c>
      <c r="B137" s="16" t="s">
        <v>270</v>
      </c>
      <c r="C137" s="16" t="s">
        <v>216</v>
      </c>
      <c r="D137" s="24" t="s">
        <v>317</v>
      </c>
      <c r="E137" s="25">
        <v>11391</v>
      </c>
      <c r="F137" s="26" t="s">
        <v>215</v>
      </c>
      <c r="G137" s="16" t="s">
        <v>216</v>
      </c>
      <c r="H137" s="31">
        <v>27.9</v>
      </c>
      <c r="I137" s="31">
        <v>34.200000000000003</v>
      </c>
      <c r="J137" s="16" t="s">
        <v>40</v>
      </c>
    </row>
    <row r="138" spans="1:10">
      <c r="A138" s="19">
        <v>134</v>
      </c>
      <c r="B138" s="16" t="s">
        <v>270</v>
      </c>
      <c r="C138" s="16" t="s">
        <v>318</v>
      </c>
      <c r="D138" s="24" t="s">
        <v>319</v>
      </c>
      <c r="E138" s="25">
        <v>424</v>
      </c>
      <c r="F138" s="26" t="s">
        <v>215</v>
      </c>
      <c r="G138" s="16" t="s">
        <v>216</v>
      </c>
      <c r="H138" s="31">
        <v>50.8</v>
      </c>
      <c r="I138" s="31">
        <v>59.7</v>
      </c>
      <c r="J138" s="16" t="s">
        <v>40</v>
      </c>
    </row>
    <row r="139" spans="1:10">
      <c r="A139" s="19">
        <v>135</v>
      </c>
      <c r="B139" s="16" t="s">
        <v>270</v>
      </c>
      <c r="C139" s="16" t="s">
        <v>320</v>
      </c>
      <c r="D139" s="24" t="s">
        <v>321</v>
      </c>
      <c r="E139" s="25">
        <v>629</v>
      </c>
      <c r="F139" s="26" t="s">
        <v>215</v>
      </c>
      <c r="G139" s="16" t="s">
        <v>216</v>
      </c>
      <c r="H139" s="31">
        <v>51</v>
      </c>
      <c r="I139" s="31">
        <v>57.6</v>
      </c>
      <c r="J139" s="16" t="s">
        <v>40</v>
      </c>
    </row>
    <row r="140" spans="1:10">
      <c r="A140" s="19">
        <v>136</v>
      </c>
      <c r="B140" s="16" t="s">
        <v>270</v>
      </c>
      <c r="C140" s="16" t="s">
        <v>322</v>
      </c>
      <c r="D140" s="24" t="s">
        <v>323</v>
      </c>
      <c r="E140" s="25">
        <v>1111</v>
      </c>
      <c r="F140" s="26" t="s">
        <v>215</v>
      </c>
      <c r="G140" s="16" t="s">
        <v>216</v>
      </c>
      <c r="H140" s="31">
        <v>44.3</v>
      </c>
      <c r="I140" s="31">
        <v>51.5</v>
      </c>
      <c r="J140" s="16" t="s">
        <v>40</v>
      </c>
    </row>
    <row r="141" spans="1:10">
      <c r="A141" s="19">
        <v>137</v>
      </c>
      <c r="B141" s="16" t="s">
        <v>270</v>
      </c>
      <c r="C141" s="16" t="s">
        <v>324</v>
      </c>
      <c r="D141" s="24" t="s">
        <v>325</v>
      </c>
      <c r="E141" s="25">
        <v>443</v>
      </c>
      <c r="F141" s="26" t="s">
        <v>215</v>
      </c>
      <c r="G141" s="16" t="s">
        <v>216</v>
      </c>
      <c r="H141" s="31">
        <v>48.4</v>
      </c>
      <c r="I141" s="31">
        <v>56.3</v>
      </c>
      <c r="J141" s="16" t="s">
        <v>40</v>
      </c>
    </row>
    <row r="142" spans="1:10">
      <c r="A142" s="19">
        <v>138</v>
      </c>
      <c r="B142" s="16" t="s">
        <v>326</v>
      </c>
      <c r="C142" s="16" t="s">
        <v>327</v>
      </c>
      <c r="D142" s="24" t="s">
        <v>328</v>
      </c>
      <c r="E142" s="25">
        <v>3763</v>
      </c>
      <c r="F142" s="26" t="s">
        <v>215</v>
      </c>
      <c r="G142" s="16" t="s">
        <v>216</v>
      </c>
      <c r="H142" s="31">
        <v>20</v>
      </c>
      <c r="I142" s="31">
        <v>21</v>
      </c>
      <c r="J142" s="16" t="s">
        <v>40</v>
      </c>
    </row>
    <row r="143" spans="1:10">
      <c r="A143" s="19">
        <v>139</v>
      </c>
      <c r="B143" s="16" t="s">
        <v>326</v>
      </c>
      <c r="C143" s="16" t="s">
        <v>329</v>
      </c>
      <c r="D143" s="24" t="s">
        <v>330</v>
      </c>
      <c r="E143" s="25">
        <v>1251</v>
      </c>
      <c r="F143" s="26" t="s">
        <v>45</v>
      </c>
      <c r="G143" s="16" t="s">
        <v>46</v>
      </c>
      <c r="H143" s="31">
        <v>38.1</v>
      </c>
      <c r="I143" s="31">
        <v>44</v>
      </c>
      <c r="J143" s="16" t="s">
        <v>40</v>
      </c>
    </row>
    <row r="144" spans="1:10">
      <c r="A144" s="19">
        <v>140</v>
      </c>
      <c r="B144" s="16" t="s">
        <v>326</v>
      </c>
      <c r="C144" s="16" t="s">
        <v>331</v>
      </c>
      <c r="D144" s="24" t="s">
        <v>332</v>
      </c>
      <c r="E144" s="25">
        <v>1512</v>
      </c>
      <c r="F144" s="26" t="s">
        <v>45</v>
      </c>
      <c r="G144" s="16" t="s">
        <v>46</v>
      </c>
      <c r="H144" s="31">
        <v>38</v>
      </c>
      <c r="I144" s="31">
        <v>42.7</v>
      </c>
      <c r="J144" s="16" t="s">
        <v>40</v>
      </c>
    </row>
    <row r="145" spans="1:10">
      <c r="A145" s="19">
        <v>141</v>
      </c>
      <c r="B145" s="16" t="s">
        <v>326</v>
      </c>
      <c r="C145" s="16" t="s">
        <v>333</v>
      </c>
      <c r="D145" s="24" t="s">
        <v>334</v>
      </c>
      <c r="E145" s="25">
        <v>1751</v>
      </c>
      <c r="F145" s="26" t="s">
        <v>45</v>
      </c>
      <c r="G145" s="16" t="s">
        <v>46</v>
      </c>
      <c r="H145" s="31">
        <v>37.1</v>
      </c>
      <c r="I145" s="31">
        <v>44.4</v>
      </c>
      <c r="J145" s="16" t="s">
        <v>40</v>
      </c>
    </row>
    <row r="146" spans="1:10">
      <c r="A146" s="19">
        <v>142</v>
      </c>
      <c r="B146" s="16" t="s">
        <v>326</v>
      </c>
      <c r="C146" s="16" t="s">
        <v>335</v>
      </c>
      <c r="D146" s="24" t="s">
        <v>336</v>
      </c>
      <c r="E146" s="25">
        <v>3136</v>
      </c>
      <c r="F146" s="26" t="s">
        <v>38</v>
      </c>
      <c r="G146" s="16" t="s">
        <v>39</v>
      </c>
      <c r="H146" s="31">
        <v>18.2</v>
      </c>
      <c r="I146" s="31">
        <v>16.899999999999999</v>
      </c>
      <c r="J146" s="16" t="s">
        <v>40</v>
      </c>
    </row>
    <row r="147" spans="1:10">
      <c r="A147" s="19">
        <v>143</v>
      </c>
      <c r="B147" s="16" t="s">
        <v>326</v>
      </c>
      <c r="C147" s="16" t="s">
        <v>46</v>
      </c>
      <c r="D147" s="24" t="s">
        <v>337</v>
      </c>
      <c r="E147" s="25">
        <v>5115</v>
      </c>
      <c r="F147" s="26" t="s">
        <v>45</v>
      </c>
      <c r="G147" s="16" t="s">
        <v>46</v>
      </c>
      <c r="H147" s="31">
        <v>28.9</v>
      </c>
      <c r="I147" s="31">
        <v>34.200000000000003</v>
      </c>
      <c r="J147" s="16" t="s">
        <v>40</v>
      </c>
    </row>
    <row r="148" spans="1:10">
      <c r="A148" s="19">
        <v>144</v>
      </c>
      <c r="B148" s="16" t="s">
        <v>326</v>
      </c>
      <c r="C148" s="16" t="s">
        <v>338</v>
      </c>
      <c r="D148" s="24" t="s">
        <v>339</v>
      </c>
      <c r="E148" s="25">
        <v>3984</v>
      </c>
      <c r="F148" s="26" t="s">
        <v>215</v>
      </c>
      <c r="G148" s="16" t="s">
        <v>216</v>
      </c>
      <c r="H148" s="31">
        <v>20.399999999999999</v>
      </c>
      <c r="I148" s="31">
        <v>22.2</v>
      </c>
      <c r="J148" s="16" t="s">
        <v>40</v>
      </c>
    </row>
    <row r="149" spans="1:10">
      <c r="A149" s="19">
        <v>145</v>
      </c>
      <c r="B149" s="16" t="s">
        <v>326</v>
      </c>
      <c r="C149" s="16" t="s">
        <v>340</v>
      </c>
      <c r="D149" s="24" t="s">
        <v>341</v>
      </c>
      <c r="E149" s="25">
        <v>3113</v>
      </c>
      <c r="F149" s="26" t="s">
        <v>45</v>
      </c>
      <c r="G149" s="16" t="s">
        <v>46</v>
      </c>
      <c r="H149" s="31">
        <v>29.4</v>
      </c>
      <c r="I149" s="31">
        <v>32.9</v>
      </c>
      <c r="J149" s="16" t="s">
        <v>40</v>
      </c>
    </row>
    <row r="150" spans="1:10">
      <c r="A150" s="19">
        <v>146</v>
      </c>
      <c r="B150" s="16" t="s">
        <v>326</v>
      </c>
      <c r="C150" s="16" t="s">
        <v>342</v>
      </c>
      <c r="D150" s="24" t="s">
        <v>343</v>
      </c>
      <c r="E150" s="25">
        <v>2114</v>
      </c>
      <c r="F150" s="26" t="s">
        <v>45</v>
      </c>
      <c r="G150" s="16" t="s">
        <v>46</v>
      </c>
      <c r="H150" s="31">
        <v>27.9</v>
      </c>
      <c r="I150" s="31">
        <v>30.7</v>
      </c>
      <c r="J150" s="16" t="s">
        <v>40</v>
      </c>
    </row>
    <row r="151" spans="1:10">
      <c r="A151" s="19">
        <v>147</v>
      </c>
      <c r="B151" s="16" t="s">
        <v>326</v>
      </c>
      <c r="C151" s="16" t="s">
        <v>344</v>
      </c>
      <c r="D151" s="24" t="s">
        <v>345</v>
      </c>
      <c r="E151" s="25">
        <v>8427</v>
      </c>
      <c r="F151" s="26" t="s">
        <v>215</v>
      </c>
      <c r="G151" s="16" t="s">
        <v>216</v>
      </c>
      <c r="H151" s="31">
        <v>24.2</v>
      </c>
      <c r="I151" s="31">
        <v>25.3</v>
      </c>
      <c r="J151" s="16" t="s">
        <v>40</v>
      </c>
    </row>
    <row r="152" spans="1:10">
      <c r="A152" s="19">
        <v>148</v>
      </c>
      <c r="B152" s="16" t="s">
        <v>326</v>
      </c>
      <c r="C152" s="16" t="s">
        <v>346</v>
      </c>
      <c r="D152" s="24" t="s">
        <v>347</v>
      </c>
      <c r="E152" s="25">
        <v>1802</v>
      </c>
      <c r="F152" s="26" t="s">
        <v>38</v>
      </c>
      <c r="G152" s="16" t="s">
        <v>39</v>
      </c>
      <c r="H152" s="31">
        <v>16.100000000000001</v>
      </c>
      <c r="I152" s="31">
        <v>14.3</v>
      </c>
      <c r="J152" s="16" t="s">
        <v>40</v>
      </c>
    </row>
    <row r="153" spans="1:10">
      <c r="A153" s="19">
        <v>149</v>
      </c>
      <c r="B153" s="16" t="s">
        <v>326</v>
      </c>
      <c r="C153" s="16" t="s">
        <v>348</v>
      </c>
      <c r="D153" s="24" t="s">
        <v>349</v>
      </c>
      <c r="E153" s="25">
        <v>834</v>
      </c>
      <c r="F153" s="26" t="s">
        <v>215</v>
      </c>
      <c r="G153" s="16" t="s">
        <v>216</v>
      </c>
      <c r="H153" s="31">
        <v>26.6</v>
      </c>
      <c r="I153" s="31">
        <v>28.6</v>
      </c>
      <c r="J153" s="16" t="s">
        <v>40</v>
      </c>
    </row>
    <row r="154" spans="1:10">
      <c r="A154" s="19">
        <v>150</v>
      </c>
      <c r="B154" s="16" t="s">
        <v>326</v>
      </c>
      <c r="C154" s="16" t="s">
        <v>350</v>
      </c>
      <c r="D154" s="24" t="s">
        <v>351</v>
      </c>
      <c r="E154" s="25">
        <v>2642</v>
      </c>
      <c r="F154" s="26" t="s">
        <v>45</v>
      </c>
      <c r="G154" s="16" t="s">
        <v>46</v>
      </c>
      <c r="H154" s="31">
        <v>21.4</v>
      </c>
      <c r="I154" s="31">
        <v>25</v>
      </c>
      <c r="J154" s="16" t="s">
        <v>40</v>
      </c>
    </row>
    <row r="155" spans="1:10">
      <c r="A155" s="19">
        <v>151</v>
      </c>
      <c r="B155" s="16" t="s">
        <v>326</v>
      </c>
      <c r="C155" s="16" t="s">
        <v>352</v>
      </c>
      <c r="D155" s="24" t="s">
        <v>353</v>
      </c>
      <c r="E155" s="25">
        <v>713</v>
      </c>
      <c r="F155" s="26" t="s">
        <v>215</v>
      </c>
      <c r="G155" s="16" t="s">
        <v>216</v>
      </c>
      <c r="H155" s="31">
        <v>33.5</v>
      </c>
      <c r="I155" s="31">
        <v>40.1</v>
      </c>
      <c r="J155" s="16" t="s">
        <v>40</v>
      </c>
    </row>
    <row r="156" spans="1:10">
      <c r="A156" s="19">
        <v>152</v>
      </c>
      <c r="B156" s="16" t="s">
        <v>326</v>
      </c>
      <c r="C156" s="16" t="s">
        <v>354</v>
      </c>
      <c r="D156" s="24" t="s">
        <v>355</v>
      </c>
      <c r="E156" s="25">
        <v>1954</v>
      </c>
      <c r="F156" s="26" t="s">
        <v>38</v>
      </c>
      <c r="G156" s="16" t="s">
        <v>39</v>
      </c>
      <c r="H156" s="31">
        <v>23.3</v>
      </c>
      <c r="I156" s="31">
        <v>23.9</v>
      </c>
      <c r="J156" s="16" t="s">
        <v>40</v>
      </c>
    </row>
    <row r="157" spans="1:10">
      <c r="A157" s="19">
        <v>153</v>
      </c>
      <c r="B157" s="16" t="s">
        <v>326</v>
      </c>
      <c r="C157" s="16" t="s">
        <v>356</v>
      </c>
      <c r="D157" s="24" t="s">
        <v>357</v>
      </c>
      <c r="E157" s="25">
        <v>1907</v>
      </c>
      <c r="F157" s="26" t="s">
        <v>215</v>
      </c>
      <c r="G157" s="16" t="s">
        <v>216</v>
      </c>
      <c r="H157" s="31">
        <v>30.8</v>
      </c>
      <c r="I157" s="31">
        <v>33.200000000000003</v>
      </c>
      <c r="J157" s="16" t="s">
        <v>40</v>
      </c>
    </row>
    <row r="158" spans="1:10">
      <c r="A158" s="19">
        <v>154</v>
      </c>
      <c r="B158" s="16" t="s">
        <v>326</v>
      </c>
      <c r="C158" s="16" t="s">
        <v>358</v>
      </c>
      <c r="D158" s="24" t="s">
        <v>359</v>
      </c>
      <c r="E158" s="25">
        <v>1594</v>
      </c>
      <c r="F158" s="26" t="s">
        <v>38</v>
      </c>
      <c r="G158" s="16" t="s">
        <v>39</v>
      </c>
      <c r="H158" s="31">
        <v>19.399999999999999</v>
      </c>
      <c r="I158" s="31">
        <v>20.3</v>
      </c>
      <c r="J158" s="16" t="s">
        <v>40</v>
      </c>
    </row>
    <row r="159" spans="1:10">
      <c r="A159" s="19">
        <v>155</v>
      </c>
      <c r="B159" s="16" t="s">
        <v>326</v>
      </c>
      <c r="C159" s="16" t="s">
        <v>360</v>
      </c>
      <c r="D159" s="24" t="s">
        <v>361</v>
      </c>
      <c r="E159" s="25">
        <v>14665</v>
      </c>
      <c r="F159" s="26" t="s">
        <v>38</v>
      </c>
      <c r="G159" s="16" t="s">
        <v>39</v>
      </c>
      <c r="H159" s="31">
        <v>14.4</v>
      </c>
      <c r="I159" s="31">
        <v>14.1</v>
      </c>
      <c r="J159" s="16" t="s">
        <v>40</v>
      </c>
    </row>
    <row r="160" spans="1:10">
      <c r="A160" s="19">
        <v>156</v>
      </c>
      <c r="B160" s="16" t="s">
        <v>326</v>
      </c>
      <c r="C160" s="16" t="s">
        <v>362</v>
      </c>
      <c r="D160" s="24" t="s">
        <v>363</v>
      </c>
      <c r="E160" s="25">
        <v>702</v>
      </c>
      <c r="F160" s="26" t="s">
        <v>215</v>
      </c>
      <c r="G160" s="16" t="s">
        <v>216</v>
      </c>
      <c r="H160" s="31">
        <v>21.3</v>
      </c>
      <c r="I160" s="31">
        <v>23.9</v>
      </c>
      <c r="J160" s="16" t="s">
        <v>40</v>
      </c>
    </row>
    <row r="161" spans="1:10">
      <c r="A161" s="19">
        <v>157</v>
      </c>
      <c r="B161" s="16" t="s">
        <v>326</v>
      </c>
      <c r="C161" s="16" t="s">
        <v>364</v>
      </c>
      <c r="D161" s="24" t="s">
        <v>365</v>
      </c>
      <c r="E161" s="25">
        <v>4168</v>
      </c>
      <c r="F161" s="26" t="s">
        <v>45</v>
      </c>
      <c r="G161" s="16" t="s">
        <v>46</v>
      </c>
      <c r="H161" s="31">
        <v>35.1</v>
      </c>
      <c r="I161" s="31">
        <v>35.700000000000003</v>
      </c>
      <c r="J161" s="16" t="s">
        <v>40</v>
      </c>
    </row>
    <row r="162" spans="1:10">
      <c r="A162" s="19">
        <v>158</v>
      </c>
      <c r="B162" s="16" t="s">
        <v>326</v>
      </c>
      <c r="C162" s="16" t="s">
        <v>366</v>
      </c>
      <c r="D162" s="24" t="s">
        <v>367</v>
      </c>
      <c r="E162" s="25">
        <v>1438</v>
      </c>
      <c r="F162" s="26" t="s">
        <v>38</v>
      </c>
      <c r="G162" s="16" t="s">
        <v>39</v>
      </c>
      <c r="H162" s="31">
        <v>14.8</v>
      </c>
      <c r="I162" s="31">
        <v>14.9</v>
      </c>
      <c r="J162" s="16" t="s">
        <v>40</v>
      </c>
    </row>
    <row r="163" spans="1:10">
      <c r="A163" s="19">
        <v>159</v>
      </c>
      <c r="B163" s="16" t="s">
        <v>326</v>
      </c>
      <c r="C163" s="16" t="s">
        <v>368</v>
      </c>
      <c r="D163" s="24" t="s">
        <v>369</v>
      </c>
      <c r="E163" s="25">
        <v>2262</v>
      </c>
      <c r="F163" s="26" t="s">
        <v>38</v>
      </c>
      <c r="G163" s="16" t="s">
        <v>39</v>
      </c>
      <c r="H163" s="31">
        <v>17.899999999999999</v>
      </c>
      <c r="I163" s="31">
        <v>18.5</v>
      </c>
      <c r="J163" s="16" t="s">
        <v>40</v>
      </c>
    </row>
    <row r="164" spans="1:10">
      <c r="A164" s="19">
        <v>160</v>
      </c>
      <c r="B164" s="16" t="s">
        <v>326</v>
      </c>
      <c r="C164" s="16" t="s">
        <v>370</v>
      </c>
      <c r="D164" s="24" t="s">
        <v>371</v>
      </c>
      <c r="E164" s="25">
        <v>2165</v>
      </c>
      <c r="F164" s="26" t="s">
        <v>215</v>
      </c>
      <c r="G164" s="16" t="s">
        <v>216</v>
      </c>
      <c r="H164" s="31">
        <v>28.3</v>
      </c>
      <c r="I164" s="31">
        <v>35.1</v>
      </c>
      <c r="J164" s="16" t="s">
        <v>40</v>
      </c>
    </row>
    <row r="165" spans="1:10">
      <c r="A165" s="19">
        <v>161</v>
      </c>
      <c r="B165" s="16" t="s">
        <v>326</v>
      </c>
      <c r="C165" s="16" t="s">
        <v>372</v>
      </c>
      <c r="D165" s="24" t="s">
        <v>373</v>
      </c>
      <c r="E165" s="25">
        <v>860</v>
      </c>
      <c r="F165" s="26" t="s">
        <v>45</v>
      </c>
      <c r="G165" s="16" t="s">
        <v>46</v>
      </c>
      <c r="H165" s="31">
        <v>37.5</v>
      </c>
      <c r="I165" s="31">
        <v>39.6</v>
      </c>
      <c r="J165" s="16" t="s">
        <v>40</v>
      </c>
    </row>
    <row r="166" spans="1:10">
      <c r="A166" s="19">
        <v>162</v>
      </c>
      <c r="B166" s="16" t="s">
        <v>326</v>
      </c>
      <c r="C166" s="16" t="s">
        <v>374</v>
      </c>
      <c r="D166" s="24" t="s">
        <v>375</v>
      </c>
      <c r="E166" s="25">
        <v>2586</v>
      </c>
      <c r="F166" s="26" t="s">
        <v>215</v>
      </c>
      <c r="G166" s="16" t="s">
        <v>216</v>
      </c>
      <c r="H166" s="31">
        <v>25.7</v>
      </c>
      <c r="I166" s="31">
        <v>28.1</v>
      </c>
      <c r="J166" s="16" t="s">
        <v>40</v>
      </c>
    </row>
    <row r="167" spans="1:10">
      <c r="A167" s="19">
        <v>163</v>
      </c>
      <c r="B167" s="16" t="s">
        <v>376</v>
      </c>
      <c r="C167" s="16" t="s">
        <v>377</v>
      </c>
      <c r="D167" s="24" t="s">
        <v>378</v>
      </c>
      <c r="E167" s="25">
        <v>556</v>
      </c>
      <c r="F167" s="26" t="s">
        <v>215</v>
      </c>
      <c r="G167" s="16" t="s">
        <v>216</v>
      </c>
      <c r="H167" s="31">
        <v>50.7</v>
      </c>
      <c r="I167" s="31">
        <v>62.6</v>
      </c>
      <c r="J167" s="16" t="s">
        <v>40</v>
      </c>
    </row>
    <row r="168" spans="1:10">
      <c r="A168" s="19">
        <v>164</v>
      </c>
      <c r="B168" s="16" t="s">
        <v>379</v>
      </c>
      <c r="C168" s="16" t="s">
        <v>380</v>
      </c>
      <c r="D168" s="24" t="s">
        <v>381</v>
      </c>
      <c r="E168" s="25">
        <v>614</v>
      </c>
      <c r="F168" s="26" t="s">
        <v>277</v>
      </c>
      <c r="G168" s="16" t="s">
        <v>278</v>
      </c>
      <c r="H168" s="31">
        <v>51</v>
      </c>
      <c r="I168" s="31">
        <v>67.8</v>
      </c>
      <c r="J168" s="16" t="s">
        <v>40</v>
      </c>
    </row>
    <row r="169" spans="1:10">
      <c r="A169" s="19">
        <v>165</v>
      </c>
      <c r="B169" s="16" t="s">
        <v>379</v>
      </c>
      <c r="C169" s="16" t="s">
        <v>382</v>
      </c>
      <c r="D169" s="24" t="s">
        <v>383</v>
      </c>
      <c r="E169" s="25">
        <v>709</v>
      </c>
      <c r="F169" s="26" t="s">
        <v>277</v>
      </c>
      <c r="G169" s="16" t="s">
        <v>278</v>
      </c>
      <c r="H169" s="31">
        <v>43.6</v>
      </c>
      <c r="I169" s="31">
        <v>58.1</v>
      </c>
      <c r="J169" s="16" t="s">
        <v>40</v>
      </c>
    </row>
    <row r="170" spans="1:10">
      <c r="A170" s="19">
        <v>166</v>
      </c>
      <c r="B170" s="16" t="s">
        <v>379</v>
      </c>
      <c r="C170" s="16" t="s">
        <v>384</v>
      </c>
      <c r="D170" s="24" t="s">
        <v>385</v>
      </c>
      <c r="E170" s="25">
        <v>2165</v>
      </c>
      <c r="F170" s="26" t="s">
        <v>277</v>
      </c>
      <c r="G170" s="16" t="s">
        <v>278</v>
      </c>
      <c r="H170" s="31">
        <v>45.1</v>
      </c>
      <c r="I170" s="31">
        <v>56</v>
      </c>
      <c r="J170" s="16" t="s">
        <v>40</v>
      </c>
    </row>
    <row r="171" spans="1:10">
      <c r="A171" s="19">
        <v>167</v>
      </c>
      <c r="B171" s="16" t="s">
        <v>379</v>
      </c>
      <c r="C171" s="16" t="s">
        <v>386</v>
      </c>
      <c r="D171" s="24" t="s">
        <v>387</v>
      </c>
      <c r="E171" s="25">
        <v>1066</v>
      </c>
      <c r="F171" s="26" t="s">
        <v>277</v>
      </c>
      <c r="G171" s="16" t="s">
        <v>278</v>
      </c>
      <c r="H171" s="31">
        <v>46.5</v>
      </c>
      <c r="I171" s="31">
        <v>62.6</v>
      </c>
      <c r="J171" s="16" t="s">
        <v>40</v>
      </c>
    </row>
    <row r="172" spans="1:10">
      <c r="A172" s="19">
        <v>168</v>
      </c>
      <c r="B172" s="16" t="s">
        <v>379</v>
      </c>
      <c r="C172" s="16" t="s">
        <v>388</v>
      </c>
      <c r="D172" s="24" t="s">
        <v>389</v>
      </c>
      <c r="E172" s="25">
        <v>659</v>
      </c>
      <c r="F172" s="26" t="s">
        <v>277</v>
      </c>
      <c r="G172" s="16" t="s">
        <v>278</v>
      </c>
      <c r="H172" s="31">
        <v>48.1</v>
      </c>
      <c r="I172" s="31">
        <v>64.099999999999994</v>
      </c>
      <c r="J172" s="16" t="s">
        <v>40</v>
      </c>
    </row>
    <row r="173" spans="1:10">
      <c r="A173" s="19">
        <v>169</v>
      </c>
      <c r="B173" s="16" t="s">
        <v>390</v>
      </c>
      <c r="C173" s="16" t="s">
        <v>391</v>
      </c>
      <c r="D173" s="24" t="s">
        <v>392</v>
      </c>
      <c r="E173" s="25">
        <v>1560</v>
      </c>
      <c r="F173" s="26" t="s">
        <v>38</v>
      </c>
      <c r="G173" s="16" t="s">
        <v>39</v>
      </c>
      <c r="H173" s="31">
        <v>30</v>
      </c>
      <c r="I173" s="31">
        <v>38.9</v>
      </c>
      <c r="J173" s="16" t="s">
        <v>40</v>
      </c>
    </row>
    <row r="174" spans="1:10">
      <c r="A174" s="19">
        <v>170</v>
      </c>
      <c r="B174" s="16" t="s">
        <v>390</v>
      </c>
      <c r="C174" s="16" t="s">
        <v>393</v>
      </c>
      <c r="D174" s="24" t="s">
        <v>394</v>
      </c>
      <c r="E174" s="25">
        <v>5235</v>
      </c>
      <c r="F174" s="26" t="s">
        <v>38</v>
      </c>
      <c r="G174" s="16" t="s">
        <v>39</v>
      </c>
      <c r="H174" s="31">
        <v>16.899999999999999</v>
      </c>
      <c r="I174" s="31">
        <v>15.4</v>
      </c>
      <c r="J174" s="16" t="s">
        <v>40</v>
      </c>
    </row>
    <row r="175" spans="1:10">
      <c r="A175" s="19">
        <v>171</v>
      </c>
      <c r="B175" s="16" t="s">
        <v>390</v>
      </c>
      <c r="C175" s="16" t="s">
        <v>395</v>
      </c>
      <c r="D175" s="24" t="s">
        <v>396</v>
      </c>
      <c r="E175" s="25">
        <v>1673</v>
      </c>
      <c r="F175" s="26" t="s">
        <v>139</v>
      </c>
      <c r="G175" s="16" t="s">
        <v>140</v>
      </c>
      <c r="H175" s="31">
        <v>33.4</v>
      </c>
      <c r="I175" s="31">
        <v>39.299999999999997</v>
      </c>
      <c r="J175" s="16" t="s">
        <v>40</v>
      </c>
    </row>
    <row r="176" spans="1:10">
      <c r="A176" s="19">
        <v>172</v>
      </c>
      <c r="B176" s="16" t="s">
        <v>390</v>
      </c>
      <c r="C176" s="16" t="s">
        <v>397</v>
      </c>
      <c r="D176" s="24" t="s">
        <v>398</v>
      </c>
      <c r="E176" s="25">
        <v>810</v>
      </c>
      <c r="F176" s="26" t="s">
        <v>38</v>
      </c>
      <c r="G176" s="16" t="s">
        <v>39</v>
      </c>
      <c r="H176" s="31">
        <v>26.1</v>
      </c>
      <c r="I176" s="31">
        <v>29.3</v>
      </c>
      <c r="J176" s="16" t="s">
        <v>40</v>
      </c>
    </row>
    <row r="177" spans="1:10">
      <c r="A177" s="19">
        <v>173</v>
      </c>
      <c r="B177" s="16" t="s">
        <v>390</v>
      </c>
      <c r="C177" s="16" t="s">
        <v>399</v>
      </c>
      <c r="D177" s="24" t="s">
        <v>400</v>
      </c>
      <c r="E177" s="25">
        <v>3857</v>
      </c>
      <c r="F177" s="26" t="s">
        <v>139</v>
      </c>
      <c r="G177" s="16" t="s">
        <v>140</v>
      </c>
      <c r="H177" s="31">
        <v>38.5</v>
      </c>
      <c r="I177" s="31">
        <v>46.2</v>
      </c>
      <c r="J177" s="16" t="s">
        <v>40</v>
      </c>
    </row>
    <row r="178" spans="1:10">
      <c r="A178" s="19">
        <v>174</v>
      </c>
      <c r="B178" s="16" t="s">
        <v>390</v>
      </c>
      <c r="C178" s="16" t="s">
        <v>401</v>
      </c>
      <c r="D178" s="24" t="s">
        <v>402</v>
      </c>
      <c r="E178" s="25">
        <v>2302</v>
      </c>
      <c r="F178" s="26" t="s">
        <v>38</v>
      </c>
      <c r="G178" s="16" t="s">
        <v>39</v>
      </c>
      <c r="H178" s="31">
        <v>23.9</v>
      </c>
      <c r="I178" s="31">
        <v>24.3</v>
      </c>
      <c r="J178" s="16" t="s">
        <v>40</v>
      </c>
    </row>
    <row r="179" spans="1:10">
      <c r="A179" s="19">
        <v>175</v>
      </c>
      <c r="B179" s="16" t="s">
        <v>390</v>
      </c>
      <c r="C179" s="16" t="s">
        <v>403</v>
      </c>
      <c r="D179" s="24" t="s">
        <v>404</v>
      </c>
      <c r="E179" s="25">
        <v>1465</v>
      </c>
      <c r="F179" s="26" t="s">
        <v>277</v>
      </c>
      <c r="G179" s="16" t="s">
        <v>278</v>
      </c>
      <c r="H179" s="31">
        <v>37.5</v>
      </c>
      <c r="I179" s="31">
        <v>46.8</v>
      </c>
      <c r="J179" s="16" t="s">
        <v>40</v>
      </c>
    </row>
    <row r="180" spans="1:10">
      <c r="A180" s="19">
        <v>176</v>
      </c>
      <c r="B180" s="16" t="s">
        <v>390</v>
      </c>
      <c r="C180" s="16" t="s">
        <v>405</v>
      </c>
      <c r="D180" s="24" t="s">
        <v>406</v>
      </c>
      <c r="E180" s="25">
        <v>2327</v>
      </c>
      <c r="F180" s="26" t="s">
        <v>139</v>
      </c>
      <c r="G180" s="16" t="s">
        <v>140</v>
      </c>
      <c r="H180" s="31">
        <v>35.4</v>
      </c>
      <c r="I180" s="31">
        <v>26.6</v>
      </c>
      <c r="J180" s="16" t="s">
        <v>293</v>
      </c>
    </row>
    <row r="181" spans="1:10">
      <c r="A181" s="19">
        <v>177</v>
      </c>
      <c r="B181" s="16" t="s">
        <v>390</v>
      </c>
      <c r="C181" s="16" t="s">
        <v>407</v>
      </c>
      <c r="D181" s="24" t="s">
        <v>408</v>
      </c>
      <c r="E181" s="25">
        <v>699</v>
      </c>
      <c r="F181" s="26" t="s">
        <v>277</v>
      </c>
      <c r="G181" s="16" t="s">
        <v>278</v>
      </c>
      <c r="H181" s="31">
        <v>42.2</v>
      </c>
      <c r="I181" s="31">
        <v>51.6</v>
      </c>
      <c r="J181" s="16" t="s">
        <v>40</v>
      </c>
    </row>
    <row r="182" spans="1:10">
      <c r="A182" s="19">
        <v>178</v>
      </c>
      <c r="B182" s="16" t="s">
        <v>390</v>
      </c>
      <c r="C182" s="16" t="s">
        <v>409</v>
      </c>
      <c r="D182" s="24" t="s">
        <v>410</v>
      </c>
      <c r="E182" s="25">
        <v>1136</v>
      </c>
      <c r="F182" s="26" t="s">
        <v>38</v>
      </c>
      <c r="G182" s="16" t="s">
        <v>39</v>
      </c>
      <c r="H182" s="31">
        <v>24.7</v>
      </c>
      <c r="I182" s="31">
        <v>27.8</v>
      </c>
      <c r="J182" s="16" t="s">
        <v>40</v>
      </c>
    </row>
    <row r="183" spans="1:10">
      <c r="A183" s="19">
        <v>179</v>
      </c>
      <c r="B183" s="16" t="s">
        <v>390</v>
      </c>
      <c r="C183" s="16" t="s">
        <v>411</v>
      </c>
      <c r="D183" s="24" t="s">
        <v>412</v>
      </c>
      <c r="E183" s="25">
        <v>1064</v>
      </c>
      <c r="F183" s="26" t="s">
        <v>139</v>
      </c>
      <c r="G183" s="16" t="s">
        <v>140</v>
      </c>
      <c r="H183" s="31">
        <v>31.3</v>
      </c>
      <c r="I183" s="31">
        <v>37.4</v>
      </c>
      <c r="J183" s="16" t="s">
        <v>40</v>
      </c>
    </row>
    <row r="184" spans="1:10">
      <c r="A184" s="19">
        <v>180</v>
      </c>
      <c r="B184" s="16" t="s">
        <v>390</v>
      </c>
      <c r="C184" s="16" t="s">
        <v>413</v>
      </c>
      <c r="D184" s="24" t="s">
        <v>414</v>
      </c>
      <c r="E184" s="25">
        <v>14497</v>
      </c>
      <c r="F184" s="26" t="s">
        <v>38</v>
      </c>
      <c r="G184" s="16" t="s">
        <v>39</v>
      </c>
      <c r="H184" s="31">
        <v>22.1</v>
      </c>
      <c r="I184" s="31">
        <v>23.6</v>
      </c>
      <c r="J184" s="16" t="s">
        <v>40</v>
      </c>
    </row>
    <row r="185" spans="1:10">
      <c r="A185" s="19">
        <v>181</v>
      </c>
      <c r="B185" s="16" t="s">
        <v>390</v>
      </c>
      <c r="C185" s="16" t="s">
        <v>415</v>
      </c>
      <c r="D185" s="24" t="s">
        <v>416</v>
      </c>
      <c r="E185" s="25">
        <v>1483</v>
      </c>
      <c r="F185" s="26" t="s">
        <v>38</v>
      </c>
      <c r="G185" s="16" t="s">
        <v>39</v>
      </c>
      <c r="H185" s="31">
        <v>28.4</v>
      </c>
      <c r="I185" s="31">
        <v>32</v>
      </c>
      <c r="J185" s="16" t="s">
        <v>40</v>
      </c>
    </row>
    <row r="186" spans="1:10">
      <c r="A186" s="19">
        <v>182</v>
      </c>
      <c r="B186" s="16" t="s">
        <v>390</v>
      </c>
      <c r="C186" s="16" t="s">
        <v>127</v>
      </c>
      <c r="D186" s="24" t="s">
        <v>417</v>
      </c>
      <c r="E186" s="25">
        <v>1254</v>
      </c>
      <c r="F186" s="26" t="s">
        <v>38</v>
      </c>
      <c r="G186" s="16" t="s">
        <v>39</v>
      </c>
      <c r="H186" s="31">
        <v>19</v>
      </c>
      <c r="I186" s="31">
        <v>20.7</v>
      </c>
      <c r="J186" s="16" t="s">
        <v>40</v>
      </c>
    </row>
    <row r="187" spans="1:10">
      <c r="A187" s="19">
        <v>183</v>
      </c>
      <c r="B187" s="16" t="s">
        <v>390</v>
      </c>
      <c r="C187" s="16" t="s">
        <v>418</v>
      </c>
      <c r="D187" s="24" t="s">
        <v>419</v>
      </c>
      <c r="E187" s="25">
        <v>2658</v>
      </c>
      <c r="F187" s="26" t="s">
        <v>38</v>
      </c>
      <c r="G187" s="16" t="s">
        <v>39</v>
      </c>
      <c r="H187" s="31">
        <v>22.4</v>
      </c>
      <c r="I187" s="31">
        <v>27.4</v>
      </c>
      <c r="J187" s="16" t="s">
        <v>40</v>
      </c>
    </row>
    <row r="188" spans="1:10">
      <c r="A188" s="19">
        <v>184</v>
      </c>
      <c r="B188" s="16" t="s">
        <v>390</v>
      </c>
      <c r="C188" s="16" t="s">
        <v>420</v>
      </c>
      <c r="D188" s="24" t="s">
        <v>421</v>
      </c>
      <c r="E188" s="25">
        <v>4824</v>
      </c>
      <c r="F188" s="26" t="s">
        <v>38</v>
      </c>
      <c r="G188" s="16" t="s">
        <v>39</v>
      </c>
      <c r="H188" s="31">
        <v>17.7</v>
      </c>
      <c r="I188" s="31">
        <v>16</v>
      </c>
      <c r="J188" s="16" t="s">
        <v>40</v>
      </c>
    </row>
    <row r="189" spans="1:10">
      <c r="A189" s="19">
        <v>185</v>
      </c>
      <c r="B189" s="16" t="s">
        <v>390</v>
      </c>
      <c r="C189" s="16" t="s">
        <v>422</v>
      </c>
      <c r="D189" s="24" t="s">
        <v>423</v>
      </c>
      <c r="E189" s="25">
        <v>985</v>
      </c>
      <c r="F189" s="26" t="s">
        <v>139</v>
      </c>
      <c r="G189" s="16" t="s">
        <v>140</v>
      </c>
      <c r="H189" s="31">
        <v>27</v>
      </c>
      <c r="I189" s="31">
        <v>32.9</v>
      </c>
      <c r="J189" s="16" t="s">
        <v>40</v>
      </c>
    </row>
    <row r="190" spans="1:10">
      <c r="A190" s="19">
        <v>186</v>
      </c>
      <c r="B190" s="16" t="s">
        <v>390</v>
      </c>
      <c r="C190" s="16" t="s">
        <v>424</v>
      </c>
      <c r="D190" s="24" t="s">
        <v>425</v>
      </c>
      <c r="E190" s="25">
        <v>3073</v>
      </c>
      <c r="F190" s="26" t="s">
        <v>139</v>
      </c>
      <c r="G190" s="16" t="s">
        <v>140</v>
      </c>
      <c r="H190" s="31">
        <v>29.9</v>
      </c>
      <c r="I190" s="31">
        <v>36.700000000000003</v>
      </c>
      <c r="J190" s="16" t="s">
        <v>40</v>
      </c>
    </row>
    <row r="191" spans="1:10">
      <c r="A191" s="19">
        <v>187</v>
      </c>
      <c r="B191" s="16" t="s">
        <v>426</v>
      </c>
      <c r="C191" s="16" t="s">
        <v>427</v>
      </c>
      <c r="D191" s="24" t="s">
        <v>428</v>
      </c>
      <c r="E191" s="25">
        <v>1745</v>
      </c>
      <c r="F191" s="26" t="s">
        <v>429</v>
      </c>
      <c r="G191" s="16" t="s">
        <v>430</v>
      </c>
      <c r="H191" s="31">
        <v>100.8</v>
      </c>
      <c r="I191" s="31">
        <v>116.8</v>
      </c>
      <c r="J191" s="16" t="s">
        <v>40</v>
      </c>
    </row>
    <row r="192" spans="1:10">
      <c r="A192" s="19">
        <v>188</v>
      </c>
      <c r="B192" s="16" t="s">
        <v>426</v>
      </c>
      <c r="C192" s="16" t="s">
        <v>431</v>
      </c>
      <c r="D192" s="24" t="s">
        <v>432</v>
      </c>
      <c r="E192" s="25">
        <v>542</v>
      </c>
      <c r="F192" s="26" t="s">
        <v>169</v>
      </c>
      <c r="G192" s="16" t="s">
        <v>170</v>
      </c>
      <c r="H192" s="31">
        <v>91.4</v>
      </c>
      <c r="I192" s="31">
        <v>98.5</v>
      </c>
      <c r="J192" s="16" t="s">
        <v>40</v>
      </c>
    </row>
    <row r="193" spans="1:10">
      <c r="A193" s="19">
        <v>189</v>
      </c>
      <c r="B193" s="16" t="s">
        <v>426</v>
      </c>
      <c r="C193" s="16" t="s">
        <v>433</v>
      </c>
      <c r="D193" s="24" t="s">
        <v>434</v>
      </c>
      <c r="E193" s="25">
        <v>1609</v>
      </c>
      <c r="F193" s="26" t="s">
        <v>429</v>
      </c>
      <c r="G193" s="16" t="s">
        <v>430</v>
      </c>
      <c r="H193" s="31">
        <v>106.7</v>
      </c>
      <c r="I193" s="31">
        <v>121.7</v>
      </c>
      <c r="J193" s="16" t="s">
        <v>40</v>
      </c>
    </row>
    <row r="194" spans="1:10">
      <c r="A194" s="19">
        <v>190</v>
      </c>
      <c r="B194" s="16" t="s">
        <v>426</v>
      </c>
      <c r="C194" s="16" t="s">
        <v>435</v>
      </c>
      <c r="D194" s="24" t="s">
        <v>436</v>
      </c>
      <c r="E194" s="25">
        <v>1956</v>
      </c>
      <c r="F194" s="26" t="s">
        <v>429</v>
      </c>
      <c r="G194" s="16" t="s">
        <v>430</v>
      </c>
      <c r="H194" s="31">
        <v>110.7</v>
      </c>
      <c r="I194" s="31">
        <v>129</v>
      </c>
      <c r="J194" s="16" t="s">
        <v>40</v>
      </c>
    </row>
    <row r="195" spans="1:10">
      <c r="A195" s="19">
        <v>191</v>
      </c>
      <c r="B195" s="16" t="s">
        <v>426</v>
      </c>
      <c r="C195" s="16" t="s">
        <v>437</v>
      </c>
      <c r="D195" s="24" t="s">
        <v>438</v>
      </c>
      <c r="E195" s="25">
        <v>1688</v>
      </c>
      <c r="F195" s="26" t="s">
        <v>429</v>
      </c>
      <c r="G195" s="16" t="s">
        <v>430</v>
      </c>
      <c r="H195" s="31">
        <v>93.9</v>
      </c>
      <c r="I195" s="31">
        <v>106.6</v>
      </c>
      <c r="J195" s="16" t="s">
        <v>40</v>
      </c>
    </row>
    <row r="196" spans="1:10">
      <c r="A196" s="19">
        <v>192</v>
      </c>
      <c r="B196" s="16" t="s">
        <v>426</v>
      </c>
      <c r="C196" s="16" t="s">
        <v>439</v>
      </c>
      <c r="D196" s="24" t="s">
        <v>440</v>
      </c>
      <c r="E196" s="25">
        <v>307</v>
      </c>
      <c r="F196" s="26" t="s">
        <v>429</v>
      </c>
      <c r="G196" s="16" t="s">
        <v>430</v>
      </c>
      <c r="H196" s="31">
        <v>87.7</v>
      </c>
      <c r="I196" s="31">
        <v>96.8</v>
      </c>
      <c r="J196" s="16" t="s">
        <v>40</v>
      </c>
    </row>
    <row r="197" spans="1:10">
      <c r="A197" s="19">
        <v>193</v>
      </c>
      <c r="B197" s="16" t="s">
        <v>426</v>
      </c>
      <c r="C197" s="16" t="s">
        <v>441</v>
      </c>
      <c r="D197" s="24" t="s">
        <v>442</v>
      </c>
      <c r="E197" s="25">
        <v>1586</v>
      </c>
      <c r="F197" s="26" t="s">
        <v>429</v>
      </c>
      <c r="G197" s="16" t="s">
        <v>430</v>
      </c>
      <c r="H197" s="31">
        <v>98.3</v>
      </c>
      <c r="I197" s="31">
        <v>113.7</v>
      </c>
      <c r="J197" s="16" t="s">
        <v>40</v>
      </c>
    </row>
    <row r="198" spans="1:10">
      <c r="A198" s="19">
        <v>194</v>
      </c>
      <c r="B198" s="16" t="s">
        <v>426</v>
      </c>
      <c r="C198" s="16" t="s">
        <v>443</v>
      </c>
      <c r="D198" s="24" t="s">
        <v>444</v>
      </c>
      <c r="E198" s="25">
        <v>2108</v>
      </c>
      <c r="F198" s="26" t="s">
        <v>429</v>
      </c>
      <c r="G198" s="16" t="s">
        <v>430</v>
      </c>
      <c r="H198" s="31">
        <v>95.4</v>
      </c>
      <c r="I198" s="31">
        <v>109.8</v>
      </c>
      <c r="J198" s="16" t="s">
        <v>40</v>
      </c>
    </row>
    <row r="199" spans="1:10">
      <c r="A199" s="19">
        <v>195</v>
      </c>
      <c r="B199" s="16" t="s">
        <v>426</v>
      </c>
      <c r="C199" s="16" t="s">
        <v>445</v>
      </c>
      <c r="D199" s="24" t="s">
        <v>446</v>
      </c>
      <c r="E199" s="25">
        <v>1637</v>
      </c>
      <c r="F199" s="26" t="s">
        <v>429</v>
      </c>
      <c r="G199" s="16" t="s">
        <v>430</v>
      </c>
      <c r="H199" s="31">
        <v>97</v>
      </c>
      <c r="I199" s="31">
        <v>106.7</v>
      </c>
      <c r="J199" s="16" t="s">
        <v>40</v>
      </c>
    </row>
    <row r="200" spans="1:10">
      <c r="A200" s="19">
        <v>196</v>
      </c>
      <c r="B200" s="16" t="s">
        <v>426</v>
      </c>
      <c r="C200" s="16" t="s">
        <v>447</v>
      </c>
      <c r="D200" s="24" t="s">
        <v>448</v>
      </c>
      <c r="E200" s="25">
        <v>1769</v>
      </c>
      <c r="F200" s="26" t="s">
        <v>429</v>
      </c>
      <c r="G200" s="16" t="s">
        <v>430</v>
      </c>
      <c r="H200" s="31">
        <v>109.2</v>
      </c>
      <c r="I200" s="31">
        <v>128.1</v>
      </c>
      <c r="J200" s="16" t="s">
        <v>40</v>
      </c>
    </row>
    <row r="201" spans="1:10">
      <c r="A201" s="19">
        <v>197</v>
      </c>
      <c r="B201" s="16" t="s">
        <v>426</v>
      </c>
      <c r="C201" s="16" t="s">
        <v>449</v>
      </c>
      <c r="D201" s="24" t="s">
        <v>450</v>
      </c>
      <c r="E201" s="25">
        <v>2524</v>
      </c>
      <c r="F201" s="26" t="s">
        <v>429</v>
      </c>
      <c r="G201" s="16" t="s">
        <v>430</v>
      </c>
      <c r="H201" s="31">
        <v>82.2</v>
      </c>
      <c r="I201" s="31">
        <v>89</v>
      </c>
      <c r="J201" s="16" t="s">
        <v>40</v>
      </c>
    </row>
    <row r="202" spans="1:10">
      <c r="A202" s="19">
        <v>198</v>
      </c>
      <c r="B202" s="16" t="s">
        <v>426</v>
      </c>
      <c r="C202" s="16" t="s">
        <v>451</v>
      </c>
      <c r="D202" s="24" t="s">
        <v>452</v>
      </c>
      <c r="E202" s="25">
        <v>1838</v>
      </c>
      <c r="F202" s="26" t="s">
        <v>429</v>
      </c>
      <c r="G202" s="16" t="s">
        <v>430</v>
      </c>
      <c r="H202" s="31">
        <v>84.9</v>
      </c>
      <c r="I202" s="31">
        <v>92.6</v>
      </c>
      <c r="J202" s="16" t="s">
        <v>40</v>
      </c>
    </row>
    <row r="203" spans="1:10">
      <c r="A203" s="19">
        <v>199</v>
      </c>
      <c r="B203" s="16" t="s">
        <v>426</v>
      </c>
      <c r="C203" s="16" t="s">
        <v>453</v>
      </c>
      <c r="D203" s="24" t="s">
        <v>454</v>
      </c>
      <c r="E203" s="25">
        <v>377</v>
      </c>
      <c r="F203" s="26" t="s">
        <v>429</v>
      </c>
      <c r="G203" s="16" t="s">
        <v>430</v>
      </c>
      <c r="H203" s="31">
        <v>88.3</v>
      </c>
      <c r="I203" s="31">
        <v>96.4</v>
      </c>
      <c r="J203" s="16" t="s">
        <v>40</v>
      </c>
    </row>
    <row r="204" spans="1:10">
      <c r="A204" s="19">
        <v>200</v>
      </c>
      <c r="B204" s="16" t="s">
        <v>426</v>
      </c>
      <c r="C204" s="16" t="s">
        <v>455</v>
      </c>
      <c r="D204" s="24" t="s">
        <v>456</v>
      </c>
      <c r="E204" s="25">
        <v>3027</v>
      </c>
      <c r="F204" s="26" t="s">
        <v>429</v>
      </c>
      <c r="G204" s="16" t="s">
        <v>430</v>
      </c>
      <c r="H204" s="31">
        <v>104.4</v>
      </c>
      <c r="I204" s="31">
        <v>120.2</v>
      </c>
      <c r="J204" s="16" t="s">
        <v>40</v>
      </c>
    </row>
    <row r="205" spans="1:10">
      <c r="A205" s="19">
        <v>201</v>
      </c>
      <c r="B205" s="16" t="s">
        <v>426</v>
      </c>
      <c r="C205" s="16" t="s">
        <v>430</v>
      </c>
      <c r="D205" s="24" t="s">
        <v>457</v>
      </c>
      <c r="E205" s="25">
        <v>5436</v>
      </c>
      <c r="F205" s="26" t="s">
        <v>429</v>
      </c>
      <c r="G205" s="16" t="s">
        <v>430</v>
      </c>
      <c r="H205" s="31">
        <v>89.8</v>
      </c>
      <c r="I205" s="31">
        <v>101</v>
      </c>
      <c r="J205" s="16" t="s">
        <v>40</v>
      </c>
    </row>
    <row r="206" spans="1:10">
      <c r="A206" s="19">
        <v>202</v>
      </c>
      <c r="B206" s="16" t="s">
        <v>426</v>
      </c>
      <c r="C206" s="16" t="s">
        <v>458</v>
      </c>
      <c r="D206" s="24" t="s">
        <v>459</v>
      </c>
      <c r="E206" s="25">
        <v>1207</v>
      </c>
      <c r="F206" s="26" t="s">
        <v>429</v>
      </c>
      <c r="G206" s="16" t="s">
        <v>430</v>
      </c>
      <c r="H206" s="31">
        <v>118.8</v>
      </c>
      <c r="I206" s="31">
        <v>137.9</v>
      </c>
      <c r="J206" s="16" t="s">
        <v>40</v>
      </c>
    </row>
    <row r="207" spans="1:10">
      <c r="A207" s="19">
        <v>203</v>
      </c>
      <c r="B207" s="16" t="s">
        <v>426</v>
      </c>
      <c r="C207" s="16" t="s">
        <v>460</v>
      </c>
      <c r="D207" s="24" t="s">
        <v>461</v>
      </c>
      <c r="E207" s="25">
        <v>1775</v>
      </c>
      <c r="F207" s="26" t="s">
        <v>429</v>
      </c>
      <c r="G207" s="16" t="s">
        <v>430</v>
      </c>
      <c r="H207" s="31">
        <v>81.599999999999994</v>
      </c>
      <c r="I207" s="31">
        <v>88</v>
      </c>
      <c r="J207" s="16" t="s">
        <v>40</v>
      </c>
    </row>
    <row r="208" spans="1:10">
      <c r="A208" s="19">
        <v>204</v>
      </c>
      <c r="B208" s="16" t="s">
        <v>426</v>
      </c>
      <c r="C208" s="16" t="s">
        <v>462</v>
      </c>
      <c r="D208" s="24" t="s">
        <v>463</v>
      </c>
      <c r="E208" s="25">
        <v>410</v>
      </c>
      <c r="F208" s="26" t="s">
        <v>429</v>
      </c>
      <c r="G208" s="16" t="s">
        <v>430</v>
      </c>
      <c r="H208" s="31">
        <v>91.9</v>
      </c>
      <c r="I208" s="31">
        <v>100.9</v>
      </c>
      <c r="J208" s="16" t="s">
        <v>40</v>
      </c>
    </row>
    <row r="209" spans="1:10">
      <c r="A209" s="19">
        <v>205</v>
      </c>
      <c r="B209" s="16" t="s">
        <v>426</v>
      </c>
      <c r="C209" s="16" t="s">
        <v>464</v>
      </c>
      <c r="D209" s="24" t="s">
        <v>465</v>
      </c>
      <c r="E209" s="25">
        <v>2161</v>
      </c>
      <c r="F209" s="26" t="s">
        <v>429</v>
      </c>
      <c r="G209" s="16" t="s">
        <v>430</v>
      </c>
      <c r="H209" s="31">
        <v>94.7</v>
      </c>
      <c r="I209" s="31">
        <v>106.9</v>
      </c>
      <c r="J209" s="16" t="s">
        <v>40</v>
      </c>
    </row>
    <row r="210" spans="1:10">
      <c r="A210" s="19">
        <v>206</v>
      </c>
      <c r="B210" s="16" t="s">
        <v>426</v>
      </c>
      <c r="C210" s="16" t="s">
        <v>466</v>
      </c>
      <c r="D210" s="24" t="s">
        <v>467</v>
      </c>
      <c r="E210" s="25">
        <v>740</v>
      </c>
      <c r="F210" s="26" t="s">
        <v>429</v>
      </c>
      <c r="G210" s="16" t="s">
        <v>430</v>
      </c>
      <c r="H210" s="31">
        <v>94.1</v>
      </c>
      <c r="I210" s="31">
        <v>106.7</v>
      </c>
      <c r="J210" s="16" t="s">
        <v>40</v>
      </c>
    </row>
    <row r="211" spans="1:10">
      <c r="A211" s="19">
        <v>207</v>
      </c>
      <c r="B211" s="16" t="s">
        <v>426</v>
      </c>
      <c r="C211" s="16" t="s">
        <v>468</v>
      </c>
      <c r="D211" s="24" t="s">
        <v>469</v>
      </c>
      <c r="E211" s="25">
        <v>4460</v>
      </c>
      <c r="F211" s="26" t="s">
        <v>429</v>
      </c>
      <c r="G211" s="16" t="s">
        <v>430</v>
      </c>
      <c r="H211" s="31">
        <v>90.3</v>
      </c>
      <c r="I211" s="31">
        <v>101.3</v>
      </c>
      <c r="J211" s="16" t="s">
        <v>40</v>
      </c>
    </row>
    <row r="212" spans="1:10">
      <c r="A212" s="19">
        <v>208</v>
      </c>
      <c r="B212" s="16" t="s">
        <v>426</v>
      </c>
      <c r="C212" s="16" t="s">
        <v>470</v>
      </c>
      <c r="D212" s="24" t="s">
        <v>471</v>
      </c>
      <c r="E212" s="25">
        <v>1317</v>
      </c>
      <c r="F212" s="26" t="s">
        <v>429</v>
      </c>
      <c r="G212" s="16" t="s">
        <v>430</v>
      </c>
      <c r="H212" s="31">
        <v>111.3</v>
      </c>
      <c r="I212" s="31">
        <v>132.80000000000001</v>
      </c>
      <c r="J212" s="16" t="s">
        <v>40</v>
      </c>
    </row>
    <row r="213" spans="1:10">
      <c r="A213" s="20">
        <v>209</v>
      </c>
      <c r="B213" s="17" t="s">
        <v>426</v>
      </c>
      <c r="C213" s="17" t="s">
        <v>472</v>
      </c>
      <c r="D213" s="27" t="s">
        <v>473</v>
      </c>
      <c r="E213" s="28">
        <v>2066</v>
      </c>
      <c r="F213" s="29" t="s">
        <v>429</v>
      </c>
      <c r="G213" s="17" t="s">
        <v>430</v>
      </c>
      <c r="H213" s="32">
        <v>96.5</v>
      </c>
      <c r="I213" s="32">
        <v>106.3</v>
      </c>
      <c r="J213" s="17" t="s">
        <v>40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0"/>
  <sheetViews>
    <sheetView showGridLines="0" workbookViewId="0"/>
  </sheetViews>
  <sheetFormatPr baseColWidth="10" defaultColWidth="8.83203125" defaultRowHeight="14"/>
  <cols>
    <col min="1" max="1" width="7" customWidth="1"/>
    <col min="2" max="2" width="23" customWidth="1"/>
    <col min="3" max="3" width="25" customWidth="1"/>
    <col min="4" max="4" width="13" customWidth="1"/>
    <col min="5" max="5" width="16" customWidth="1"/>
    <col min="6" max="6" width="15" customWidth="1"/>
    <col min="7" max="7" width="22" customWidth="1"/>
    <col min="8" max="9" width="21" customWidth="1"/>
    <col min="10" max="10" width="22" customWidth="1"/>
  </cols>
  <sheetData>
    <row r="1" spans="1:10" ht="30" customHeight="1">
      <c r="A1" s="39" t="s">
        <v>474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2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2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5</v>
      </c>
      <c r="F4" s="14" t="s">
        <v>30</v>
      </c>
      <c r="G4" s="14" t="s">
        <v>31</v>
      </c>
      <c r="H4" s="14" t="s">
        <v>32</v>
      </c>
      <c r="I4" s="14" t="s">
        <v>33</v>
      </c>
      <c r="J4" s="14" t="s">
        <v>34</v>
      </c>
    </row>
    <row r="5" spans="1:10">
      <c r="A5" s="18">
        <v>1</v>
      </c>
      <c r="B5" s="15" t="s">
        <v>475</v>
      </c>
      <c r="C5" s="15" t="s">
        <v>476</v>
      </c>
      <c r="D5" s="21" t="s">
        <v>477</v>
      </c>
      <c r="E5" s="22">
        <v>1098</v>
      </c>
      <c r="F5" s="23" t="s">
        <v>478</v>
      </c>
      <c r="G5" s="15" t="s">
        <v>479</v>
      </c>
      <c r="H5" s="30">
        <v>14.7</v>
      </c>
      <c r="I5" s="30">
        <v>15.5</v>
      </c>
      <c r="J5" s="15" t="s">
        <v>40</v>
      </c>
    </row>
    <row r="6" spans="1:10">
      <c r="A6" s="19">
        <v>2</v>
      </c>
      <c r="B6" s="16" t="s">
        <v>475</v>
      </c>
      <c r="C6" s="16" t="s">
        <v>480</v>
      </c>
      <c r="D6" s="24" t="s">
        <v>481</v>
      </c>
      <c r="E6" s="25">
        <v>643</v>
      </c>
      <c r="F6" s="26" t="s">
        <v>482</v>
      </c>
      <c r="G6" s="16" t="s">
        <v>483</v>
      </c>
      <c r="H6" s="31">
        <v>26.6</v>
      </c>
      <c r="I6" s="31">
        <v>31.3</v>
      </c>
      <c r="J6" s="16" t="s">
        <v>40</v>
      </c>
    </row>
    <row r="7" spans="1:10">
      <c r="A7" s="19">
        <v>3</v>
      </c>
      <c r="B7" s="16" t="s">
        <v>475</v>
      </c>
      <c r="C7" s="16" t="s">
        <v>484</v>
      </c>
      <c r="D7" s="24" t="s">
        <v>485</v>
      </c>
      <c r="E7" s="25">
        <v>4913</v>
      </c>
      <c r="F7" s="26" t="s">
        <v>482</v>
      </c>
      <c r="G7" s="16" t="s">
        <v>483</v>
      </c>
      <c r="H7" s="31">
        <v>22.8</v>
      </c>
      <c r="I7" s="31">
        <v>22.7</v>
      </c>
      <c r="J7" s="16" t="s">
        <v>40</v>
      </c>
    </row>
    <row r="8" spans="1:10">
      <c r="A8" s="19">
        <v>4</v>
      </c>
      <c r="B8" s="16" t="s">
        <v>475</v>
      </c>
      <c r="C8" s="16" t="s">
        <v>486</v>
      </c>
      <c r="D8" s="24" t="s">
        <v>487</v>
      </c>
      <c r="E8" s="25">
        <v>745</v>
      </c>
      <c r="F8" s="26" t="s">
        <v>482</v>
      </c>
      <c r="G8" s="16" t="s">
        <v>483</v>
      </c>
      <c r="H8" s="31">
        <v>31.1</v>
      </c>
      <c r="I8" s="31">
        <v>35</v>
      </c>
      <c r="J8" s="16" t="s">
        <v>40</v>
      </c>
    </row>
    <row r="9" spans="1:10">
      <c r="A9" s="19">
        <v>5</v>
      </c>
      <c r="B9" s="16" t="s">
        <v>475</v>
      </c>
      <c r="C9" s="16" t="s">
        <v>488</v>
      </c>
      <c r="D9" s="24" t="s">
        <v>489</v>
      </c>
      <c r="E9" s="25">
        <v>1194</v>
      </c>
      <c r="F9" s="26" t="s">
        <v>482</v>
      </c>
      <c r="G9" s="16" t="s">
        <v>483</v>
      </c>
      <c r="H9" s="31">
        <v>32.200000000000003</v>
      </c>
      <c r="I9" s="31">
        <v>37.700000000000003</v>
      </c>
      <c r="J9" s="16" t="s">
        <v>40</v>
      </c>
    </row>
    <row r="10" spans="1:10">
      <c r="A10" s="19">
        <v>6</v>
      </c>
      <c r="B10" s="16" t="s">
        <v>475</v>
      </c>
      <c r="C10" s="16" t="s">
        <v>490</v>
      </c>
      <c r="D10" s="24" t="s">
        <v>491</v>
      </c>
      <c r="E10" s="25">
        <v>1056</v>
      </c>
      <c r="F10" s="26" t="s">
        <v>482</v>
      </c>
      <c r="G10" s="16" t="s">
        <v>483</v>
      </c>
      <c r="H10" s="31">
        <v>23.8</v>
      </c>
      <c r="I10" s="31">
        <v>28.1</v>
      </c>
      <c r="J10" s="16" t="s">
        <v>40</v>
      </c>
    </row>
    <row r="11" spans="1:10">
      <c r="A11" s="19">
        <v>7</v>
      </c>
      <c r="B11" s="16" t="s">
        <v>475</v>
      </c>
      <c r="C11" s="16" t="s">
        <v>492</v>
      </c>
      <c r="D11" s="24" t="s">
        <v>493</v>
      </c>
      <c r="E11" s="25">
        <v>888</v>
      </c>
      <c r="F11" s="26" t="s">
        <v>482</v>
      </c>
      <c r="G11" s="16" t="s">
        <v>483</v>
      </c>
      <c r="H11" s="31">
        <v>33.4</v>
      </c>
      <c r="I11" s="31">
        <v>35.9</v>
      </c>
      <c r="J11" s="16" t="s">
        <v>40</v>
      </c>
    </row>
    <row r="12" spans="1:10">
      <c r="A12" s="19">
        <v>8</v>
      </c>
      <c r="B12" s="16" t="s">
        <v>475</v>
      </c>
      <c r="C12" s="16" t="s">
        <v>494</v>
      </c>
      <c r="D12" s="24" t="s">
        <v>495</v>
      </c>
      <c r="E12" s="25">
        <v>876</v>
      </c>
      <c r="F12" s="26" t="s">
        <v>478</v>
      </c>
      <c r="G12" s="16" t="s">
        <v>479</v>
      </c>
      <c r="H12" s="31">
        <v>20.7</v>
      </c>
      <c r="I12" s="31">
        <v>23.1</v>
      </c>
      <c r="J12" s="16" t="s">
        <v>40</v>
      </c>
    </row>
    <row r="13" spans="1:10">
      <c r="A13" s="19">
        <v>9</v>
      </c>
      <c r="B13" s="16" t="s">
        <v>475</v>
      </c>
      <c r="C13" s="16" t="s">
        <v>496</v>
      </c>
      <c r="D13" s="24" t="s">
        <v>497</v>
      </c>
      <c r="E13" s="25">
        <v>1958</v>
      </c>
      <c r="F13" s="26" t="s">
        <v>498</v>
      </c>
      <c r="G13" s="16" t="s">
        <v>499</v>
      </c>
      <c r="H13" s="31">
        <v>35.5</v>
      </c>
      <c r="I13" s="31">
        <v>40.5</v>
      </c>
      <c r="J13" s="16" t="s">
        <v>40</v>
      </c>
    </row>
    <row r="14" spans="1:10">
      <c r="A14" s="19">
        <v>10</v>
      </c>
      <c r="B14" s="16" t="s">
        <v>475</v>
      </c>
      <c r="C14" s="16" t="s">
        <v>500</v>
      </c>
      <c r="D14" s="24" t="s">
        <v>501</v>
      </c>
      <c r="E14" s="25">
        <v>1853</v>
      </c>
      <c r="F14" s="26" t="s">
        <v>482</v>
      </c>
      <c r="G14" s="16" t="s">
        <v>483</v>
      </c>
      <c r="H14" s="31">
        <v>39.5</v>
      </c>
      <c r="I14" s="31">
        <v>45</v>
      </c>
      <c r="J14" s="16" t="s">
        <v>40</v>
      </c>
    </row>
    <row r="15" spans="1:10">
      <c r="A15" s="19">
        <v>11</v>
      </c>
      <c r="B15" s="16" t="s">
        <v>475</v>
      </c>
      <c r="C15" s="16" t="s">
        <v>320</v>
      </c>
      <c r="D15" s="24" t="s">
        <v>502</v>
      </c>
      <c r="E15" s="25">
        <v>2798</v>
      </c>
      <c r="F15" s="26" t="s">
        <v>482</v>
      </c>
      <c r="G15" s="16" t="s">
        <v>483</v>
      </c>
      <c r="H15" s="31">
        <v>31.5</v>
      </c>
      <c r="I15" s="31">
        <v>32</v>
      </c>
      <c r="J15" s="16" t="s">
        <v>40</v>
      </c>
    </row>
    <row r="16" spans="1:10">
      <c r="A16" s="19">
        <v>12</v>
      </c>
      <c r="B16" s="16" t="s">
        <v>503</v>
      </c>
      <c r="C16" s="16" t="s">
        <v>504</v>
      </c>
      <c r="D16" s="24" t="s">
        <v>505</v>
      </c>
      <c r="E16" s="25">
        <v>90954</v>
      </c>
      <c r="F16" s="26" t="s">
        <v>478</v>
      </c>
      <c r="G16" s="16" t="s">
        <v>479</v>
      </c>
      <c r="H16" s="31">
        <v>2.2000000000000002</v>
      </c>
      <c r="I16" s="31">
        <v>1.4</v>
      </c>
      <c r="J16" s="16" t="s">
        <v>40</v>
      </c>
    </row>
    <row r="17" spans="1:10">
      <c r="A17" s="19">
        <v>13</v>
      </c>
      <c r="B17" s="16" t="s">
        <v>503</v>
      </c>
      <c r="C17" s="16" t="s">
        <v>506</v>
      </c>
      <c r="D17" s="24" t="s">
        <v>507</v>
      </c>
      <c r="E17" s="25">
        <v>2620</v>
      </c>
      <c r="F17" s="26" t="s">
        <v>478</v>
      </c>
      <c r="G17" s="16" t="s">
        <v>479</v>
      </c>
      <c r="H17" s="31">
        <v>7.3</v>
      </c>
      <c r="I17" s="31">
        <v>8.5</v>
      </c>
      <c r="J17" s="16" t="s">
        <v>40</v>
      </c>
    </row>
    <row r="18" spans="1:10">
      <c r="A18" s="19">
        <v>14</v>
      </c>
      <c r="B18" s="16" t="s">
        <v>503</v>
      </c>
      <c r="C18" s="16" t="s">
        <v>508</v>
      </c>
      <c r="D18" s="24" t="s">
        <v>509</v>
      </c>
      <c r="E18" s="25">
        <v>972</v>
      </c>
      <c r="F18" s="26" t="s">
        <v>478</v>
      </c>
      <c r="G18" s="16" t="s">
        <v>479</v>
      </c>
      <c r="H18" s="31">
        <v>7</v>
      </c>
      <c r="I18" s="31">
        <v>8.6999999999999993</v>
      </c>
      <c r="J18" s="16" t="s">
        <v>40</v>
      </c>
    </row>
    <row r="19" spans="1:10">
      <c r="A19" s="19">
        <v>15</v>
      </c>
      <c r="B19" s="16" t="s">
        <v>510</v>
      </c>
      <c r="C19" s="16" t="s">
        <v>511</v>
      </c>
      <c r="D19" s="24" t="s">
        <v>512</v>
      </c>
      <c r="E19" s="25">
        <v>1237</v>
      </c>
      <c r="F19" s="26" t="s">
        <v>513</v>
      </c>
      <c r="G19" s="16" t="s">
        <v>514</v>
      </c>
      <c r="H19" s="31">
        <v>82.7</v>
      </c>
      <c r="I19" s="31">
        <v>103.3</v>
      </c>
      <c r="J19" s="16" t="s">
        <v>40</v>
      </c>
    </row>
    <row r="20" spans="1:10">
      <c r="A20" s="19">
        <v>16</v>
      </c>
      <c r="B20" s="16" t="s">
        <v>510</v>
      </c>
      <c r="C20" s="16" t="s">
        <v>515</v>
      </c>
      <c r="D20" s="24" t="s">
        <v>516</v>
      </c>
      <c r="E20" s="25">
        <v>1284</v>
      </c>
      <c r="F20" s="26" t="s">
        <v>513</v>
      </c>
      <c r="G20" s="16" t="s">
        <v>514</v>
      </c>
      <c r="H20" s="31">
        <v>84.1</v>
      </c>
      <c r="I20" s="31">
        <v>114.5</v>
      </c>
      <c r="J20" s="16" t="s">
        <v>40</v>
      </c>
    </row>
    <row r="21" spans="1:10">
      <c r="A21" s="19">
        <v>17</v>
      </c>
      <c r="B21" s="16" t="s">
        <v>510</v>
      </c>
      <c r="C21" s="16" t="s">
        <v>517</v>
      </c>
      <c r="D21" s="24"/>
      <c r="E21" s="25">
        <v>0</v>
      </c>
      <c r="F21" s="26" t="s">
        <v>513</v>
      </c>
      <c r="G21" s="16" t="s">
        <v>514</v>
      </c>
      <c r="H21" s="31">
        <v>83.6</v>
      </c>
      <c r="I21" s="31">
        <v>112.5</v>
      </c>
      <c r="J21" s="16" t="s">
        <v>40</v>
      </c>
    </row>
    <row r="22" spans="1:10">
      <c r="A22" s="19">
        <v>18</v>
      </c>
      <c r="B22" s="16" t="s">
        <v>510</v>
      </c>
      <c r="C22" s="16" t="s">
        <v>82</v>
      </c>
      <c r="D22" s="24" t="s">
        <v>518</v>
      </c>
      <c r="E22" s="25">
        <v>509</v>
      </c>
      <c r="F22" s="26" t="s">
        <v>513</v>
      </c>
      <c r="G22" s="16" t="s">
        <v>514</v>
      </c>
      <c r="H22" s="31">
        <v>80.7</v>
      </c>
      <c r="I22" s="31">
        <v>103.6</v>
      </c>
      <c r="J22" s="16" t="s">
        <v>40</v>
      </c>
    </row>
    <row r="23" spans="1:10">
      <c r="A23" s="19">
        <v>19</v>
      </c>
      <c r="B23" s="16" t="s">
        <v>510</v>
      </c>
      <c r="C23" s="16" t="s">
        <v>519</v>
      </c>
      <c r="D23" s="24" t="s">
        <v>520</v>
      </c>
      <c r="E23" s="25">
        <v>2629</v>
      </c>
      <c r="F23" s="26" t="s">
        <v>513</v>
      </c>
      <c r="G23" s="16" t="s">
        <v>514</v>
      </c>
      <c r="H23" s="31">
        <v>76.400000000000006</v>
      </c>
      <c r="I23" s="31">
        <v>97.5</v>
      </c>
      <c r="J23" s="16" t="s">
        <v>40</v>
      </c>
    </row>
    <row r="24" spans="1:10">
      <c r="A24" s="19">
        <v>20</v>
      </c>
      <c r="B24" s="16" t="s">
        <v>510</v>
      </c>
      <c r="C24" s="16" t="s">
        <v>521</v>
      </c>
      <c r="D24" s="24" t="s">
        <v>522</v>
      </c>
      <c r="E24" s="25">
        <v>339</v>
      </c>
      <c r="F24" s="26" t="s">
        <v>513</v>
      </c>
      <c r="G24" s="16" t="s">
        <v>514</v>
      </c>
      <c r="H24" s="31">
        <v>66.5</v>
      </c>
      <c r="I24" s="31">
        <v>88.4</v>
      </c>
      <c r="J24" s="16" t="s">
        <v>40</v>
      </c>
    </row>
    <row r="25" spans="1:10">
      <c r="A25" s="19">
        <v>21</v>
      </c>
      <c r="B25" s="16" t="s">
        <v>510</v>
      </c>
      <c r="C25" s="16" t="s">
        <v>523</v>
      </c>
      <c r="D25" s="24" t="s">
        <v>524</v>
      </c>
      <c r="E25" s="25">
        <v>1136</v>
      </c>
      <c r="F25" s="26" t="s">
        <v>513</v>
      </c>
      <c r="G25" s="16" t="s">
        <v>514</v>
      </c>
      <c r="H25" s="31">
        <v>76.3</v>
      </c>
      <c r="I25" s="31">
        <v>104.1</v>
      </c>
      <c r="J25" s="16" t="s">
        <v>40</v>
      </c>
    </row>
    <row r="26" spans="1:10">
      <c r="A26" s="19">
        <v>22</v>
      </c>
      <c r="B26" s="16" t="s">
        <v>510</v>
      </c>
      <c r="C26" s="16" t="s">
        <v>525</v>
      </c>
      <c r="D26" s="24" t="s">
        <v>526</v>
      </c>
      <c r="E26" s="25">
        <v>891</v>
      </c>
      <c r="F26" s="26" t="s">
        <v>527</v>
      </c>
      <c r="G26" s="16" t="s">
        <v>528</v>
      </c>
      <c r="H26" s="31">
        <v>75.599999999999994</v>
      </c>
      <c r="I26" s="31">
        <v>96.5</v>
      </c>
      <c r="J26" s="16" t="s">
        <v>40</v>
      </c>
    </row>
    <row r="27" spans="1:10">
      <c r="A27" s="19">
        <v>23</v>
      </c>
      <c r="B27" s="16" t="s">
        <v>510</v>
      </c>
      <c r="C27" s="16" t="s">
        <v>529</v>
      </c>
      <c r="D27" s="24" t="s">
        <v>530</v>
      </c>
      <c r="E27" s="25">
        <v>2025</v>
      </c>
      <c r="F27" s="26" t="s">
        <v>513</v>
      </c>
      <c r="G27" s="16" t="s">
        <v>514</v>
      </c>
      <c r="H27" s="31">
        <v>72.099999999999994</v>
      </c>
      <c r="I27" s="31">
        <v>93.5</v>
      </c>
      <c r="J27" s="16" t="s">
        <v>40</v>
      </c>
    </row>
    <row r="28" spans="1:10">
      <c r="A28" s="19">
        <v>24</v>
      </c>
      <c r="B28" s="16" t="s">
        <v>510</v>
      </c>
      <c r="C28" s="16" t="s">
        <v>531</v>
      </c>
      <c r="D28" s="24" t="s">
        <v>532</v>
      </c>
      <c r="E28" s="25">
        <v>951</v>
      </c>
      <c r="F28" s="26" t="s">
        <v>513</v>
      </c>
      <c r="G28" s="16" t="s">
        <v>514</v>
      </c>
      <c r="H28" s="31">
        <v>64.8</v>
      </c>
      <c r="I28" s="31">
        <v>86.4</v>
      </c>
      <c r="J28" s="16" t="s">
        <v>40</v>
      </c>
    </row>
    <row r="29" spans="1:10">
      <c r="A29" s="19">
        <v>25</v>
      </c>
      <c r="B29" s="16" t="s">
        <v>510</v>
      </c>
      <c r="C29" s="16" t="s">
        <v>533</v>
      </c>
      <c r="D29" s="24" t="s">
        <v>534</v>
      </c>
      <c r="E29" s="25">
        <v>2977</v>
      </c>
      <c r="F29" s="26" t="s">
        <v>513</v>
      </c>
      <c r="G29" s="16" t="s">
        <v>514</v>
      </c>
      <c r="H29" s="31">
        <v>92.5</v>
      </c>
      <c r="I29" s="31">
        <v>119.9</v>
      </c>
      <c r="J29" s="16" t="s">
        <v>40</v>
      </c>
    </row>
    <row r="30" spans="1:10">
      <c r="A30" s="19">
        <v>26</v>
      </c>
      <c r="B30" s="16" t="s">
        <v>510</v>
      </c>
      <c r="C30" s="16" t="s">
        <v>535</v>
      </c>
      <c r="D30" s="24" t="s">
        <v>536</v>
      </c>
      <c r="E30" s="25">
        <v>863</v>
      </c>
      <c r="F30" s="26" t="s">
        <v>513</v>
      </c>
      <c r="G30" s="16" t="s">
        <v>514</v>
      </c>
      <c r="H30" s="31">
        <v>70.400000000000006</v>
      </c>
      <c r="I30" s="31">
        <v>92.5</v>
      </c>
      <c r="J30" s="16" t="s">
        <v>40</v>
      </c>
    </row>
    <row r="31" spans="1:10">
      <c r="A31" s="19">
        <v>27</v>
      </c>
      <c r="B31" s="16" t="s">
        <v>510</v>
      </c>
      <c r="C31" s="16" t="s">
        <v>537</v>
      </c>
      <c r="D31" s="24" t="s">
        <v>538</v>
      </c>
      <c r="E31" s="25">
        <v>885</v>
      </c>
      <c r="F31" s="26" t="s">
        <v>513</v>
      </c>
      <c r="G31" s="16" t="s">
        <v>514</v>
      </c>
      <c r="H31" s="31">
        <v>97.3</v>
      </c>
      <c r="I31" s="31">
        <v>126</v>
      </c>
      <c r="J31" s="16" t="s">
        <v>40</v>
      </c>
    </row>
    <row r="32" spans="1:10">
      <c r="A32" s="19">
        <v>28</v>
      </c>
      <c r="B32" s="16" t="s">
        <v>510</v>
      </c>
      <c r="C32" s="16" t="s">
        <v>539</v>
      </c>
      <c r="D32" s="24" t="s">
        <v>540</v>
      </c>
      <c r="E32" s="25">
        <v>392</v>
      </c>
      <c r="F32" s="26" t="s">
        <v>527</v>
      </c>
      <c r="G32" s="16" t="s">
        <v>528</v>
      </c>
      <c r="H32" s="31">
        <v>64.5</v>
      </c>
      <c r="I32" s="31">
        <v>84.3</v>
      </c>
      <c r="J32" s="16" t="s">
        <v>40</v>
      </c>
    </row>
    <row r="33" spans="1:10">
      <c r="A33" s="19">
        <v>29</v>
      </c>
      <c r="B33" s="16" t="s">
        <v>510</v>
      </c>
      <c r="C33" s="16" t="s">
        <v>541</v>
      </c>
      <c r="D33" s="24" t="s">
        <v>542</v>
      </c>
      <c r="E33" s="25">
        <v>4495</v>
      </c>
      <c r="F33" s="26" t="s">
        <v>513</v>
      </c>
      <c r="G33" s="16" t="s">
        <v>514</v>
      </c>
      <c r="H33" s="31">
        <v>75</v>
      </c>
      <c r="I33" s="31">
        <v>95.8</v>
      </c>
      <c r="J33" s="16" t="s">
        <v>40</v>
      </c>
    </row>
    <row r="34" spans="1:10">
      <c r="A34" s="19">
        <v>30</v>
      </c>
      <c r="B34" s="16" t="s">
        <v>510</v>
      </c>
      <c r="C34" s="16" t="s">
        <v>543</v>
      </c>
      <c r="D34" s="24" t="s">
        <v>544</v>
      </c>
      <c r="E34" s="25">
        <v>1338</v>
      </c>
      <c r="F34" s="26" t="s">
        <v>513</v>
      </c>
      <c r="G34" s="16" t="s">
        <v>514</v>
      </c>
      <c r="H34" s="31">
        <v>89.7</v>
      </c>
      <c r="I34" s="31">
        <v>122.6</v>
      </c>
      <c r="J34" s="16" t="s">
        <v>40</v>
      </c>
    </row>
    <row r="35" spans="1:10">
      <c r="A35" s="19">
        <v>31</v>
      </c>
      <c r="B35" s="16" t="s">
        <v>510</v>
      </c>
      <c r="C35" s="16" t="s">
        <v>545</v>
      </c>
      <c r="D35" s="24" t="s">
        <v>546</v>
      </c>
      <c r="E35" s="25">
        <v>2200</v>
      </c>
      <c r="F35" s="26" t="s">
        <v>513</v>
      </c>
      <c r="G35" s="16" t="s">
        <v>514</v>
      </c>
      <c r="H35" s="31">
        <v>81.7</v>
      </c>
      <c r="I35" s="31">
        <v>108.8</v>
      </c>
      <c r="J35" s="16" t="s">
        <v>40</v>
      </c>
    </row>
    <row r="36" spans="1:10">
      <c r="A36" s="19">
        <v>32</v>
      </c>
      <c r="B36" s="16" t="s">
        <v>510</v>
      </c>
      <c r="C36" s="16" t="s">
        <v>547</v>
      </c>
      <c r="D36" s="24" t="s">
        <v>548</v>
      </c>
      <c r="E36" s="25">
        <v>920</v>
      </c>
      <c r="F36" s="26" t="s">
        <v>513</v>
      </c>
      <c r="G36" s="16" t="s">
        <v>514</v>
      </c>
      <c r="H36" s="31">
        <v>104.7</v>
      </c>
      <c r="I36" s="31">
        <v>135.19999999999999</v>
      </c>
      <c r="J36" s="16" t="s">
        <v>40</v>
      </c>
    </row>
    <row r="37" spans="1:10">
      <c r="A37" s="19">
        <v>33</v>
      </c>
      <c r="B37" s="16" t="s">
        <v>510</v>
      </c>
      <c r="C37" s="16" t="s">
        <v>549</v>
      </c>
      <c r="D37" s="24" t="s">
        <v>550</v>
      </c>
      <c r="E37" s="25">
        <v>1316</v>
      </c>
      <c r="F37" s="26" t="s">
        <v>513</v>
      </c>
      <c r="G37" s="16" t="s">
        <v>514</v>
      </c>
      <c r="H37" s="31">
        <v>101.3</v>
      </c>
      <c r="I37" s="31">
        <v>132.30000000000001</v>
      </c>
      <c r="J37" s="16" t="s">
        <v>40</v>
      </c>
    </row>
    <row r="38" spans="1:10">
      <c r="A38" s="19">
        <v>34</v>
      </c>
      <c r="B38" s="16" t="s">
        <v>510</v>
      </c>
      <c r="C38" s="16" t="s">
        <v>551</v>
      </c>
      <c r="D38" s="24" t="s">
        <v>552</v>
      </c>
      <c r="E38" s="25">
        <v>2854</v>
      </c>
      <c r="F38" s="26" t="s">
        <v>513</v>
      </c>
      <c r="G38" s="16" t="s">
        <v>514</v>
      </c>
      <c r="H38" s="31">
        <v>77.3</v>
      </c>
      <c r="I38" s="31">
        <v>102.9</v>
      </c>
      <c r="J38" s="16" t="s">
        <v>40</v>
      </c>
    </row>
    <row r="39" spans="1:10">
      <c r="A39" s="19">
        <v>35</v>
      </c>
      <c r="B39" s="16" t="s">
        <v>510</v>
      </c>
      <c r="C39" s="16" t="s">
        <v>553</v>
      </c>
      <c r="D39" s="24"/>
      <c r="E39" s="25">
        <v>0</v>
      </c>
      <c r="F39" s="26" t="s">
        <v>513</v>
      </c>
      <c r="G39" s="16" t="s">
        <v>514</v>
      </c>
      <c r="H39" s="31">
        <v>75.599999999999994</v>
      </c>
      <c r="I39" s="31">
        <v>102.2</v>
      </c>
      <c r="J39" s="16" t="s">
        <v>40</v>
      </c>
    </row>
    <row r="40" spans="1:10">
      <c r="A40" s="19">
        <v>36</v>
      </c>
      <c r="B40" s="16" t="s">
        <v>510</v>
      </c>
      <c r="C40" s="16" t="s">
        <v>554</v>
      </c>
      <c r="D40" s="24" t="s">
        <v>555</v>
      </c>
      <c r="E40" s="25">
        <v>647</v>
      </c>
      <c r="F40" s="26" t="s">
        <v>513</v>
      </c>
      <c r="G40" s="16" t="s">
        <v>514</v>
      </c>
      <c r="H40" s="31">
        <v>87</v>
      </c>
      <c r="I40" s="31">
        <v>119.2</v>
      </c>
      <c r="J40" s="16" t="s">
        <v>40</v>
      </c>
    </row>
    <row r="41" spans="1:10">
      <c r="A41" s="19">
        <v>37</v>
      </c>
      <c r="B41" s="16" t="s">
        <v>510</v>
      </c>
      <c r="C41" s="16" t="s">
        <v>514</v>
      </c>
      <c r="D41" s="24" t="s">
        <v>556</v>
      </c>
      <c r="E41" s="25">
        <v>5785</v>
      </c>
      <c r="F41" s="26" t="s">
        <v>513</v>
      </c>
      <c r="G41" s="16" t="s">
        <v>514</v>
      </c>
      <c r="H41" s="31">
        <v>73.599999999999994</v>
      </c>
      <c r="I41" s="31">
        <v>99.8</v>
      </c>
      <c r="J41" s="16" t="s">
        <v>40</v>
      </c>
    </row>
    <row r="42" spans="1:10">
      <c r="A42" s="19">
        <v>38</v>
      </c>
      <c r="B42" s="16" t="s">
        <v>510</v>
      </c>
      <c r="C42" s="16" t="s">
        <v>557</v>
      </c>
      <c r="D42" s="24" t="s">
        <v>558</v>
      </c>
      <c r="E42" s="25">
        <v>3569</v>
      </c>
      <c r="F42" s="26" t="s">
        <v>513</v>
      </c>
      <c r="G42" s="16" t="s">
        <v>514</v>
      </c>
      <c r="H42" s="31">
        <v>91.7</v>
      </c>
      <c r="I42" s="31">
        <v>124.9</v>
      </c>
      <c r="J42" s="16" t="s">
        <v>40</v>
      </c>
    </row>
    <row r="43" spans="1:10">
      <c r="A43" s="19">
        <v>39</v>
      </c>
      <c r="B43" s="16" t="s">
        <v>510</v>
      </c>
      <c r="C43" s="16" t="s">
        <v>559</v>
      </c>
      <c r="D43" s="24" t="s">
        <v>560</v>
      </c>
      <c r="E43" s="25">
        <v>939</v>
      </c>
      <c r="F43" s="26" t="s">
        <v>513</v>
      </c>
      <c r="G43" s="16" t="s">
        <v>514</v>
      </c>
      <c r="H43" s="31">
        <v>83</v>
      </c>
      <c r="I43" s="31">
        <v>105.5</v>
      </c>
      <c r="J43" s="16" t="s">
        <v>40</v>
      </c>
    </row>
    <row r="44" spans="1:10">
      <c r="A44" s="19">
        <v>40</v>
      </c>
      <c r="B44" s="16" t="s">
        <v>510</v>
      </c>
      <c r="C44" s="16" t="s">
        <v>561</v>
      </c>
      <c r="D44" s="24" t="s">
        <v>562</v>
      </c>
      <c r="E44" s="25">
        <v>689</v>
      </c>
      <c r="F44" s="26" t="s">
        <v>513</v>
      </c>
      <c r="G44" s="16" t="s">
        <v>514</v>
      </c>
      <c r="H44" s="31">
        <v>87.4</v>
      </c>
      <c r="I44" s="31">
        <v>108.9</v>
      </c>
      <c r="J44" s="16" t="s">
        <v>40</v>
      </c>
    </row>
    <row r="45" spans="1:10">
      <c r="A45" s="19">
        <v>41</v>
      </c>
      <c r="B45" s="16" t="s">
        <v>510</v>
      </c>
      <c r="C45" s="16" t="s">
        <v>563</v>
      </c>
      <c r="D45" s="24" t="s">
        <v>564</v>
      </c>
      <c r="E45" s="25">
        <v>1217</v>
      </c>
      <c r="F45" s="26" t="s">
        <v>513</v>
      </c>
      <c r="G45" s="16" t="s">
        <v>514</v>
      </c>
      <c r="H45" s="31">
        <v>89.9</v>
      </c>
      <c r="I45" s="31">
        <v>113.3</v>
      </c>
      <c r="J45" s="16" t="s">
        <v>40</v>
      </c>
    </row>
    <row r="46" spans="1:10">
      <c r="A46" s="19">
        <v>42</v>
      </c>
      <c r="B46" s="16" t="s">
        <v>510</v>
      </c>
      <c r="C46" s="16" t="s">
        <v>565</v>
      </c>
      <c r="D46" s="24" t="s">
        <v>566</v>
      </c>
      <c r="E46" s="25">
        <v>1807</v>
      </c>
      <c r="F46" s="26" t="s">
        <v>513</v>
      </c>
      <c r="G46" s="16" t="s">
        <v>514</v>
      </c>
      <c r="H46" s="31">
        <v>71.599999999999994</v>
      </c>
      <c r="I46" s="31">
        <v>95.9</v>
      </c>
      <c r="J46" s="16" t="s">
        <v>40</v>
      </c>
    </row>
    <row r="47" spans="1:10">
      <c r="A47" s="19">
        <v>43</v>
      </c>
      <c r="B47" s="16" t="s">
        <v>510</v>
      </c>
      <c r="C47" s="16" t="s">
        <v>567</v>
      </c>
      <c r="D47" s="24" t="s">
        <v>568</v>
      </c>
      <c r="E47" s="25">
        <v>1701</v>
      </c>
      <c r="F47" s="26" t="s">
        <v>513</v>
      </c>
      <c r="G47" s="16" t="s">
        <v>514</v>
      </c>
      <c r="H47" s="31">
        <v>79.900000000000006</v>
      </c>
      <c r="I47" s="31">
        <v>101.9</v>
      </c>
      <c r="J47" s="16" t="s">
        <v>40</v>
      </c>
    </row>
    <row r="48" spans="1:10">
      <c r="A48" s="19">
        <v>44</v>
      </c>
      <c r="B48" s="16" t="s">
        <v>510</v>
      </c>
      <c r="C48" s="16" t="s">
        <v>569</v>
      </c>
      <c r="D48" s="24" t="s">
        <v>570</v>
      </c>
      <c r="E48" s="25">
        <v>1299</v>
      </c>
      <c r="F48" s="26" t="s">
        <v>513</v>
      </c>
      <c r="G48" s="16" t="s">
        <v>514</v>
      </c>
      <c r="H48" s="31">
        <v>77.8</v>
      </c>
      <c r="I48" s="31">
        <v>104.6</v>
      </c>
      <c r="J48" s="16" t="s">
        <v>40</v>
      </c>
    </row>
    <row r="49" spans="1:10">
      <c r="A49" s="19">
        <v>45</v>
      </c>
      <c r="B49" s="16" t="s">
        <v>136</v>
      </c>
      <c r="C49" s="16" t="s">
        <v>571</v>
      </c>
      <c r="D49" s="24" t="s">
        <v>572</v>
      </c>
      <c r="E49" s="25">
        <v>868</v>
      </c>
      <c r="F49" s="26" t="s">
        <v>573</v>
      </c>
      <c r="G49" s="16" t="s">
        <v>574</v>
      </c>
      <c r="H49" s="31">
        <v>43.1</v>
      </c>
      <c r="I49" s="31">
        <v>56.9</v>
      </c>
      <c r="J49" s="16" t="s">
        <v>40</v>
      </c>
    </row>
    <row r="50" spans="1:10">
      <c r="A50" s="19">
        <v>46</v>
      </c>
      <c r="B50" s="16" t="s">
        <v>575</v>
      </c>
      <c r="C50" s="16" t="s">
        <v>576</v>
      </c>
      <c r="D50" s="24" t="s">
        <v>577</v>
      </c>
      <c r="E50" s="25">
        <v>2148</v>
      </c>
      <c r="F50" s="26" t="s">
        <v>498</v>
      </c>
      <c r="G50" s="16" t="s">
        <v>499</v>
      </c>
      <c r="H50" s="31">
        <v>46</v>
      </c>
      <c r="I50" s="31">
        <v>51.6</v>
      </c>
      <c r="J50" s="16" t="s">
        <v>40</v>
      </c>
    </row>
    <row r="51" spans="1:10">
      <c r="A51" s="19">
        <v>47</v>
      </c>
      <c r="B51" s="16" t="s">
        <v>578</v>
      </c>
      <c r="C51" s="16" t="s">
        <v>579</v>
      </c>
      <c r="D51" s="24" t="s">
        <v>580</v>
      </c>
      <c r="E51" s="25">
        <v>488</v>
      </c>
      <c r="F51" s="26" t="s">
        <v>527</v>
      </c>
      <c r="G51" s="16" t="s">
        <v>528</v>
      </c>
      <c r="H51" s="31">
        <v>64.400000000000006</v>
      </c>
      <c r="I51" s="31">
        <v>75.900000000000006</v>
      </c>
      <c r="J51" s="16" t="s">
        <v>40</v>
      </c>
    </row>
    <row r="52" spans="1:10">
      <c r="A52" s="19">
        <v>48</v>
      </c>
      <c r="B52" s="16" t="s">
        <v>578</v>
      </c>
      <c r="C52" s="16" t="s">
        <v>581</v>
      </c>
      <c r="D52" s="24" t="s">
        <v>582</v>
      </c>
      <c r="E52" s="25">
        <v>653</v>
      </c>
      <c r="F52" s="26" t="s">
        <v>527</v>
      </c>
      <c r="G52" s="16" t="s">
        <v>528</v>
      </c>
      <c r="H52" s="31">
        <v>74.7</v>
      </c>
      <c r="I52" s="31">
        <v>93.8</v>
      </c>
      <c r="J52" s="16" t="s">
        <v>40</v>
      </c>
    </row>
    <row r="53" spans="1:10">
      <c r="A53" s="19">
        <v>49</v>
      </c>
      <c r="B53" s="16" t="s">
        <v>578</v>
      </c>
      <c r="C53" s="16" t="s">
        <v>583</v>
      </c>
      <c r="D53" s="24" t="s">
        <v>584</v>
      </c>
      <c r="E53" s="25">
        <v>382</v>
      </c>
      <c r="F53" s="26" t="s">
        <v>527</v>
      </c>
      <c r="G53" s="16" t="s">
        <v>528</v>
      </c>
      <c r="H53" s="31">
        <v>73.400000000000006</v>
      </c>
      <c r="I53" s="31">
        <v>91.9</v>
      </c>
      <c r="J53" s="16" t="s">
        <v>40</v>
      </c>
    </row>
    <row r="54" spans="1:10">
      <c r="A54" s="19">
        <v>50</v>
      </c>
      <c r="B54" s="16" t="s">
        <v>578</v>
      </c>
      <c r="C54" s="16" t="s">
        <v>585</v>
      </c>
      <c r="D54" s="24" t="s">
        <v>586</v>
      </c>
      <c r="E54" s="25">
        <v>983</v>
      </c>
      <c r="F54" s="26" t="s">
        <v>527</v>
      </c>
      <c r="G54" s="16" t="s">
        <v>528</v>
      </c>
      <c r="H54" s="31">
        <v>65.900000000000006</v>
      </c>
      <c r="I54" s="31">
        <v>83.9</v>
      </c>
      <c r="J54" s="16" t="s">
        <v>40</v>
      </c>
    </row>
    <row r="55" spans="1:10">
      <c r="A55" s="19">
        <v>51</v>
      </c>
      <c r="B55" s="16" t="s">
        <v>578</v>
      </c>
      <c r="C55" s="16" t="s">
        <v>587</v>
      </c>
      <c r="D55" s="24" t="s">
        <v>588</v>
      </c>
      <c r="E55" s="25">
        <v>629</v>
      </c>
      <c r="F55" s="26" t="s">
        <v>527</v>
      </c>
      <c r="G55" s="16" t="s">
        <v>528</v>
      </c>
      <c r="H55" s="31">
        <v>48.4</v>
      </c>
      <c r="I55" s="31">
        <v>59.8</v>
      </c>
      <c r="J55" s="16" t="s">
        <v>40</v>
      </c>
    </row>
    <row r="56" spans="1:10">
      <c r="A56" s="19">
        <v>52</v>
      </c>
      <c r="B56" s="16" t="s">
        <v>578</v>
      </c>
      <c r="C56" s="16" t="s">
        <v>589</v>
      </c>
      <c r="D56" s="24" t="s">
        <v>590</v>
      </c>
      <c r="E56" s="25">
        <v>1088</v>
      </c>
      <c r="F56" s="26" t="s">
        <v>527</v>
      </c>
      <c r="G56" s="16" t="s">
        <v>528</v>
      </c>
      <c r="H56" s="31">
        <v>61</v>
      </c>
      <c r="I56" s="31">
        <v>76.7</v>
      </c>
      <c r="J56" s="16" t="s">
        <v>40</v>
      </c>
    </row>
    <row r="57" spans="1:10">
      <c r="A57" s="19">
        <v>53</v>
      </c>
      <c r="B57" s="16" t="s">
        <v>578</v>
      </c>
      <c r="C57" s="16" t="s">
        <v>591</v>
      </c>
      <c r="D57" s="24" t="s">
        <v>592</v>
      </c>
      <c r="E57" s="25">
        <v>3625</v>
      </c>
      <c r="F57" s="26" t="s">
        <v>498</v>
      </c>
      <c r="G57" s="16" t="s">
        <v>499</v>
      </c>
      <c r="H57" s="31">
        <v>42.3</v>
      </c>
      <c r="I57" s="31">
        <v>53.1</v>
      </c>
      <c r="J57" s="16" t="s">
        <v>40</v>
      </c>
    </row>
    <row r="58" spans="1:10">
      <c r="A58" s="19">
        <v>54</v>
      </c>
      <c r="B58" s="16" t="s">
        <v>578</v>
      </c>
      <c r="C58" s="16" t="s">
        <v>593</v>
      </c>
      <c r="D58" s="24" t="s">
        <v>594</v>
      </c>
      <c r="E58" s="25">
        <v>1067</v>
      </c>
      <c r="F58" s="26" t="s">
        <v>527</v>
      </c>
      <c r="G58" s="16" t="s">
        <v>528</v>
      </c>
      <c r="H58" s="31">
        <v>70.7</v>
      </c>
      <c r="I58" s="31">
        <v>90</v>
      </c>
      <c r="J58" s="16" t="s">
        <v>40</v>
      </c>
    </row>
    <row r="59" spans="1:10">
      <c r="A59" s="19">
        <v>55</v>
      </c>
      <c r="B59" s="16" t="s">
        <v>578</v>
      </c>
      <c r="C59" s="16" t="s">
        <v>595</v>
      </c>
      <c r="D59" s="24" t="s">
        <v>596</v>
      </c>
      <c r="E59" s="25">
        <v>834</v>
      </c>
      <c r="F59" s="26" t="s">
        <v>513</v>
      </c>
      <c r="G59" s="16" t="s">
        <v>514</v>
      </c>
      <c r="H59" s="31">
        <v>71.2</v>
      </c>
      <c r="I59" s="31">
        <v>91</v>
      </c>
      <c r="J59" s="16" t="s">
        <v>40</v>
      </c>
    </row>
    <row r="60" spans="1:10">
      <c r="A60" s="19">
        <v>56</v>
      </c>
      <c r="B60" s="16" t="s">
        <v>578</v>
      </c>
      <c r="C60" s="16" t="s">
        <v>597</v>
      </c>
      <c r="D60" s="24" t="s">
        <v>598</v>
      </c>
      <c r="E60" s="25">
        <v>340</v>
      </c>
      <c r="F60" s="26" t="s">
        <v>513</v>
      </c>
      <c r="G60" s="16" t="s">
        <v>514</v>
      </c>
      <c r="H60" s="31">
        <v>73.900000000000006</v>
      </c>
      <c r="I60" s="31">
        <v>96</v>
      </c>
      <c r="J60" s="16" t="s">
        <v>40</v>
      </c>
    </row>
    <row r="61" spans="1:10">
      <c r="A61" s="19">
        <v>57</v>
      </c>
      <c r="B61" s="16" t="s">
        <v>578</v>
      </c>
      <c r="C61" s="16" t="s">
        <v>599</v>
      </c>
      <c r="D61" s="24" t="s">
        <v>600</v>
      </c>
      <c r="E61" s="25">
        <v>1215</v>
      </c>
      <c r="F61" s="26" t="s">
        <v>527</v>
      </c>
      <c r="G61" s="16" t="s">
        <v>528</v>
      </c>
      <c r="H61" s="31">
        <v>70.5</v>
      </c>
      <c r="I61" s="31">
        <v>77.599999999999994</v>
      </c>
      <c r="J61" s="16" t="s">
        <v>40</v>
      </c>
    </row>
    <row r="62" spans="1:10">
      <c r="A62" s="19">
        <v>58</v>
      </c>
      <c r="B62" s="16" t="s">
        <v>578</v>
      </c>
      <c r="C62" s="16" t="s">
        <v>601</v>
      </c>
      <c r="D62" s="24" t="s">
        <v>602</v>
      </c>
      <c r="E62" s="25">
        <v>1042</v>
      </c>
      <c r="F62" s="26" t="s">
        <v>527</v>
      </c>
      <c r="G62" s="16" t="s">
        <v>528</v>
      </c>
      <c r="H62" s="31">
        <v>66.3</v>
      </c>
      <c r="I62" s="31">
        <v>85.6</v>
      </c>
      <c r="J62" s="16" t="s">
        <v>40</v>
      </c>
    </row>
    <row r="63" spans="1:10">
      <c r="A63" s="19">
        <v>59</v>
      </c>
      <c r="B63" s="16" t="s">
        <v>578</v>
      </c>
      <c r="C63" s="16" t="s">
        <v>603</v>
      </c>
      <c r="D63" s="24" t="s">
        <v>604</v>
      </c>
      <c r="E63" s="25">
        <v>1483</v>
      </c>
      <c r="F63" s="26" t="s">
        <v>527</v>
      </c>
      <c r="G63" s="16" t="s">
        <v>528</v>
      </c>
      <c r="H63" s="31">
        <v>53.4</v>
      </c>
      <c r="I63" s="31">
        <v>64.2</v>
      </c>
      <c r="J63" s="16" t="s">
        <v>40</v>
      </c>
    </row>
    <row r="64" spans="1:10">
      <c r="A64" s="19">
        <v>60</v>
      </c>
      <c r="B64" s="16" t="s">
        <v>578</v>
      </c>
      <c r="C64" s="16" t="s">
        <v>605</v>
      </c>
      <c r="D64" s="24" t="s">
        <v>606</v>
      </c>
      <c r="E64" s="25">
        <v>783</v>
      </c>
      <c r="F64" s="26" t="s">
        <v>527</v>
      </c>
      <c r="G64" s="16" t="s">
        <v>528</v>
      </c>
      <c r="H64" s="31">
        <v>66.3</v>
      </c>
      <c r="I64" s="31">
        <v>85.5</v>
      </c>
      <c r="J64" s="16" t="s">
        <v>40</v>
      </c>
    </row>
    <row r="65" spans="1:10">
      <c r="A65" s="19">
        <v>61</v>
      </c>
      <c r="B65" s="16" t="s">
        <v>578</v>
      </c>
      <c r="C65" s="16" t="s">
        <v>607</v>
      </c>
      <c r="D65" s="24" t="s">
        <v>608</v>
      </c>
      <c r="E65" s="25">
        <v>1299</v>
      </c>
      <c r="F65" s="26" t="s">
        <v>527</v>
      </c>
      <c r="G65" s="16" t="s">
        <v>528</v>
      </c>
      <c r="H65" s="31">
        <v>55.2</v>
      </c>
      <c r="I65" s="31">
        <v>72.400000000000006</v>
      </c>
      <c r="J65" s="16" t="s">
        <v>40</v>
      </c>
    </row>
    <row r="66" spans="1:10">
      <c r="A66" s="19">
        <v>62</v>
      </c>
      <c r="B66" s="16" t="s">
        <v>578</v>
      </c>
      <c r="C66" s="16" t="s">
        <v>609</v>
      </c>
      <c r="D66" s="24" t="s">
        <v>610</v>
      </c>
      <c r="E66" s="25">
        <v>1308</v>
      </c>
      <c r="F66" s="26" t="s">
        <v>527</v>
      </c>
      <c r="G66" s="16" t="s">
        <v>528</v>
      </c>
      <c r="H66" s="31">
        <v>59.5</v>
      </c>
      <c r="I66" s="31">
        <v>71.5</v>
      </c>
      <c r="J66" s="16" t="s">
        <v>40</v>
      </c>
    </row>
    <row r="67" spans="1:10">
      <c r="A67" s="19">
        <v>63</v>
      </c>
      <c r="B67" s="16" t="s">
        <v>578</v>
      </c>
      <c r="C67" s="16" t="s">
        <v>611</v>
      </c>
      <c r="D67" s="24" t="s">
        <v>612</v>
      </c>
      <c r="E67" s="25">
        <v>837</v>
      </c>
      <c r="F67" s="26" t="s">
        <v>527</v>
      </c>
      <c r="G67" s="16" t="s">
        <v>528</v>
      </c>
      <c r="H67" s="31">
        <v>73.900000000000006</v>
      </c>
      <c r="I67" s="31">
        <v>87.8</v>
      </c>
      <c r="J67" s="16" t="s">
        <v>40</v>
      </c>
    </row>
    <row r="68" spans="1:10">
      <c r="A68" s="19">
        <v>64</v>
      </c>
      <c r="B68" s="16" t="s">
        <v>578</v>
      </c>
      <c r="C68" s="16" t="s">
        <v>613</v>
      </c>
      <c r="D68" s="24" t="s">
        <v>614</v>
      </c>
      <c r="E68" s="25">
        <v>1653</v>
      </c>
      <c r="F68" s="26" t="s">
        <v>527</v>
      </c>
      <c r="G68" s="16" t="s">
        <v>528</v>
      </c>
      <c r="H68" s="31">
        <v>69</v>
      </c>
      <c r="I68" s="31">
        <v>88.4</v>
      </c>
      <c r="J68" s="16" t="s">
        <v>40</v>
      </c>
    </row>
    <row r="69" spans="1:10">
      <c r="A69" s="19">
        <v>65</v>
      </c>
      <c r="B69" s="16" t="s">
        <v>578</v>
      </c>
      <c r="C69" s="16" t="s">
        <v>615</v>
      </c>
      <c r="D69" s="24" t="s">
        <v>616</v>
      </c>
      <c r="E69" s="25">
        <v>847</v>
      </c>
      <c r="F69" s="26" t="s">
        <v>527</v>
      </c>
      <c r="G69" s="16" t="s">
        <v>528</v>
      </c>
      <c r="H69" s="31">
        <v>54.9</v>
      </c>
      <c r="I69" s="31">
        <v>66.2</v>
      </c>
      <c r="J69" s="16" t="s">
        <v>40</v>
      </c>
    </row>
    <row r="70" spans="1:10">
      <c r="A70" s="19">
        <v>66</v>
      </c>
      <c r="B70" s="16" t="s">
        <v>578</v>
      </c>
      <c r="C70" s="16" t="s">
        <v>617</v>
      </c>
      <c r="D70" s="24" t="s">
        <v>618</v>
      </c>
      <c r="E70" s="25">
        <v>717</v>
      </c>
      <c r="F70" s="26" t="s">
        <v>527</v>
      </c>
      <c r="G70" s="16" t="s">
        <v>528</v>
      </c>
      <c r="H70" s="31">
        <v>62.4</v>
      </c>
      <c r="I70" s="31">
        <v>78.900000000000006</v>
      </c>
      <c r="J70" s="16" t="s">
        <v>40</v>
      </c>
    </row>
    <row r="71" spans="1:10">
      <c r="A71" s="19">
        <v>67</v>
      </c>
      <c r="B71" s="16" t="s">
        <v>578</v>
      </c>
      <c r="C71" s="16" t="s">
        <v>619</v>
      </c>
      <c r="D71" s="24" t="s">
        <v>620</v>
      </c>
      <c r="E71" s="25">
        <v>2012</v>
      </c>
      <c r="F71" s="26" t="s">
        <v>527</v>
      </c>
      <c r="G71" s="16" t="s">
        <v>528</v>
      </c>
      <c r="H71" s="31">
        <v>59.3</v>
      </c>
      <c r="I71" s="31">
        <v>78.3</v>
      </c>
      <c r="J71" s="16" t="s">
        <v>40</v>
      </c>
    </row>
    <row r="72" spans="1:10">
      <c r="A72" s="19">
        <v>68</v>
      </c>
      <c r="B72" s="16" t="s">
        <v>578</v>
      </c>
      <c r="C72" s="16" t="s">
        <v>621</v>
      </c>
      <c r="D72" s="24" t="s">
        <v>622</v>
      </c>
      <c r="E72" s="25">
        <v>647</v>
      </c>
      <c r="F72" s="26" t="s">
        <v>527</v>
      </c>
      <c r="G72" s="16" t="s">
        <v>528</v>
      </c>
      <c r="H72" s="31">
        <v>70.5</v>
      </c>
      <c r="I72" s="31">
        <v>87.7</v>
      </c>
      <c r="J72" s="16" t="s">
        <v>40</v>
      </c>
    </row>
    <row r="73" spans="1:10">
      <c r="A73" s="19">
        <v>69</v>
      </c>
      <c r="B73" s="16" t="s">
        <v>578</v>
      </c>
      <c r="C73" s="16" t="s">
        <v>623</v>
      </c>
      <c r="D73" s="24" t="s">
        <v>624</v>
      </c>
      <c r="E73" s="25">
        <v>1207</v>
      </c>
      <c r="F73" s="26" t="s">
        <v>527</v>
      </c>
      <c r="G73" s="16" t="s">
        <v>528</v>
      </c>
      <c r="H73" s="31">
        <v>58.4</v>
      </c>
      <c r="I73" s="31">
        <v>77</v>
      </c>
      <c r="J73" s="16" t="s">
        <v>40</v>
      </c>
    </row>
    <row r="74" spans="1:10">
      <c r="A74" s="19">
        <v>70</v>
      </c>
      <c r="B74" s="16" t="s">
        <v>578</v>
      </c>
      <c r="C74" s="16" t="s">
        <v>625</v>
      </c>
      <c r="D74" s="24" t="s">
        <v>626</v>
      </c>
      <c r="E74" s="25">
        <v>817</v>
      </c>
      <c r="F74" s="26" t="s">
        <v>527</v>
      </c>
      <c r="G74" s="16" t="s">
        <v>528</v>
      </c>
      <c r="H74" s="31">
        <v>71.7</v>
      </c>
      <c r="I74" s="31">
        <v>92.2</v>
      </c>
      <c r="J74" s="16" t="s">
        <v>40</v>
      </c>
    </row>
    <row r="75" spans="1:10">
      <c r="A75" s="19">
        <v>71</v>
      </c>
      <c r="B75" s="16" t="s">
        <v>578</v>
      </c>
      <c r="C75" s="16" t="s">
        <v>627</v>
      </c>
      <c r="D75" s="24" t="s">
        <v>628</v>
      </c>
      <c r="E75" s="25">
        <v>5493</v>
      </c>
      <c r="F75" s="26" t="s">
        <v>527</v>
      </c>
      <c r="G75" s="16" t="s">
        <v>528</v>
      </c>
      <c r="H75" s="31">
        <v>49.5</v>
      </c>
      <c r="I75" s="31">
        <v>61.7</v>
      </c>
      <c r="J75" s="16" t="s">
        <v>40</v>
      </c>
    </row>
    <row r="76" spans="1:10">
      <c r="A76" s="19">
        <v>72</v>
      </c>
      <c r="B76" s="16" t="s">
        <v>578</v>
      </c>
      <c r="C76" s="16" t="s">
        <v>528</v>
      </c>
      <c r="D76" s="24" t="s">
        <v>629</v>
      </c>
      <c r="E76" s="25">
        <v>12369</v>
      </c>
      <c r="F76" s="26" t="s">
        <v>527</v>
      </c>
      <c r="G76" s="16" t="s">
        <v>528</v>
      </c>
      <c r="H76" s="31">
        <v>54.5</v>
      </c>
      <c r="I76" s="31">
        <v>68.8</v>
      </c>
      <c r="J76" s="16" t="s">
        <v>40</v>
      </c>
    </row>
    <row r="77" spans="1:10">
      <c r="A77" s="19">
        <v>73</v>
      </c>
      <c r="B77" s="16" t="s">
        <v>578</v>
      </c>
      <c r="C77" s="16" t="s">
        <v>322</v>
      </c>
      <c r="D77" s="24" t="s">
        <v>630</v>
      </c>
      <c r="E77" s="25">
        <v>800</v>
      </c>
      <c r="F77" s="26" t="s">
        <v>527</v>
      </c>
      <c r="G77" s="16" t="s">
        <v>528</v>
      </c>
      <c r="H77" s="31">
        <v>55.6</v>
      </c>
      <c r="I77" s="31">
        <v>67.3</v>
      </c>
      <c r="J77" s="16" t="s">
        <v>40</v>
      </c>
    </row>
    <row r="78" spans="1:10">
      <c r="A78" s="19">
        <v>74</v>
      </c>
      <c r="B78" s="16" t="s">
        <v>578</v>
      </c>
      <c r="C78" s="16" t="s">
        <v>631</v>
      </c>
      <c r="D78" s="24" t="s">
        <v>632</v>
      </c>
      <c r="E78" s="25">
        <v>1152</v>
      </c>
      <c r="F78" s="26" t="s">
        <v>527</v>
      </c>
      <c r="G78" s="16" t="s">
        <v>528</v>
      </c>
      <c r="H78" s="31">
        <v>53.5</v>
      </c>
      <c r="I78" s="31">
        <v>64.599999999999994</v>
      </c>
      <c r="J78" s="16" t="s">
        <v>40</v>
      </c>
    </row>
    <row r="79" spans="1:10">
      <c r="A79" s="19">
        <v>75</v>
      </c>
      <c r="B79" s="16" t="s">
        <v>578</v>
      </c>
      <c r="C79" s="16" t="s">
        <v>633</v>
      </c>
      <c r="D79" s="24" t="s">
        <v>634</v>
      </c>
      <c r="E79" s="25">
        <v>843</v>
      </c>
      <c r="F79" s="26" t="s">
        <v>527</v>
      </c>
      <c r="G79" s="16" t="s">
        <v>528</v>
      </c>
      <c r="H79" s="31">
        <v>62.9</v>
      </c>
      <c r="I79" s="31">
        <v>75.8</v>
      </c>
      <c r="J79" s="16" t="s">
        <v>40</v>
      </c>
    </row>
    <row r="80" spans="1:10">
      <c r="A80" s="19">
        <v>76</v>
      </c>
      <c r="B80" s="16" t="s">
        <v>578</v>
      </c>
      <c r="C80" s="16" t="s">
        <v>635</v>
      </c>
      <c r="D80" s="24" t="s">
        <v>636</v>
      </c>
      <c r="E80" s="25">
        <v>1200</v>
      </c>
      <c r="F80" s="26" t="s">
        <v>527</v>
      </c>
      <c r="G80" s="16" t="s">
        <v>528</v>
      </c>
      <c r="H80" s="31">
        <v>67.099999999999994</v>
      </c>
      <c r="I80" s="31">
        <v>87.2</v>
      </c>
      <c r="J80" s="16" t="s">
        <v>40</v>
      </c>
    </row>
    <row r="81" spans="1:10">
      <c r="A81" s="19">
        <v>77</v>
      </c>
      <c r="B81" s="16" t="s">
        <v>578</v>
      </c>
      <c r="C81" s="16" t="s">
        <v>637</v>
      </c>
      <c r="D81" s="24" t="s">
        <v>638</v>
      </c>
      <c r="E81" s="25">
        <v>1677</v>
      </c>
      <c r="F81" s="26" t="s">
        <v>513</v>
      </c>
      <c r="G81" s="16" t="s">
        <v>514</v>
      </c>
      <c r="H81" s="31">
        <v>70.7</v>
      </c>
      <c r="I81" s="31">
        <v>91.1</v>
      </c>
      <c r="J81" s="16" t="s">
        <v>40</v>
      </c>
    </row>
    <row r="82" spans="1:10">
      <c r="A82" s="19">
        <v>78</v>
      </c>
      <c r="B82" s="16" t="s">
        <v>578</v>
      </c>
      <c r="C82" s="16" t="s">
        <v>639</v>
      </c>
      <c r="D82" s="24" t="s">
        <v>640</v>
      </c>
      <c r="E82" s="25">
        <v>939</v>
      </c>
      <c r="F82" s="26" t="s">
        <v>527</v>
      </c>
      <c r="G82" s="16" t="s">
        <v>528</v>
      </c>
      <c r="H82" s="31">
        <v>76.8</v>
      </c>
      <c r="I82" s="31">
        <v>96.1</v>
      </c>
      <c r="J82" s="16" t="s">
        <v>40</v>
      </c>
    </row>
    <row r="83" spans="1:10">
      <c r="A83" s="19">
        <v>79</v>
      </c>
      <c r="B83" s="16" t="s">
        <v>641</v>
      </c>
      <c r="C83" s="16" t="s">
        <v>642</v>
      </c>
      <c r="D83" s="24" t="s">
        <v>643</v>
      </c>
      <c r="E83" s="25">
        <v>783</v>
      </c>
      <c r="F83" s="26" t="s">
        <v>644</v>
      </c>
      <c r="G83" s="16" t="s">
        <v>645</v>
      </c>
      <c r="H83" s="31">
        <v>31.5</v>
      </c>
      <c r="I83" s="31">
        <v>39.6</v>
      </c>
      <c r="J83" s="16" t="s">
        <v>40</v>
      </c>
    </row>
    <row r="84" spans="1:10">
      <c r="A84" s="19">
        <v>80</v>
      </c>
      <c r="B84" s="16" t="s">
        <v>641</v>
      </c>
      <c r="C84" s="16" t="s">
        <v>646</v>
      </c>
      <c r="D84" s="24" t="s">
        <v>647</v>
      </c>
      <c r="E84" s="25">
        <v>783</v>
      </c>
      <c r="F84" s="26" t="s">
        <v>644</v>
      </c>
      <c r="G84" s="16" t="s">
        <v>645</v>
      </c>
      <c r="H84" s="31">
        <v>21.2</v>
      </c>
      <c r="I84" s="31">
        <v>28.4</v>
      </c>
      <c r="J84" s="16" t="s">
        <v>40</v>
      </c>
    </row>
    <row r="85" spans="1:10">
      <c r="A85" s="19">
        <v>81</v>
      </c>
      <c r="B85" s="16" t="s">
        <v>641</v>
      </c>
      <c r="C85" s="16" t="s">
        <v>648</v>
      </c>
      <c r="D85" s="24" t="s">
        <v>649</v>
      </c>
      <c r="E85" s="25">
        <v>1633</v>
      </c>
      <c r="F85" s="26" t="s">
        <v>644</v>
      </c>
      <c r="G85" s="16" t="s">
        <v>645</v>
      </c>
      <c r="H85" s="31">
        <v>40.5</v>
      </c>
      <c r="I85" s="31">
        <v>52.7</v>
      </c>
      <c r="J85" s="16" t="s">
        <v>40</v>
      </c>
    </row>
    <row r="86" spans="1:10">
      <c r="A86" s="19">
        <v>82</v>
      </c>
      <c r="B86" s="16" t="s">
        <v>641</v>
      </c>
      <c r="C86" s="16" t="s">
        <v>650</v>
      </c>
      <c r="D86" s="24" t="s">
        <v>651</v>
      </c>
      <c r="E86" s="25">
        <v>1755</v>
      </c>
      <c r="F86" s="26" t="s">
        <v>644</v>
      </c>
      <c r="G86" s="16" t="s">
        <v>645</v>
      </c>
      <c r="H86" s="31">
        <v>29.2</v>
      </c>
      <c r="I86" s="31">
        <v>38.5</v>
      </c>
      <c r="J86" s="16" t="s">
        <v>40</v>
      </c>
    </row>
    <row r="87" spans="1:10">
      <c r="A87" s="19">
        <v>83</v>
      </c>
      <c r="B87" s="16" t="s">
        <v>641</v>
      </c>
      <c r="C87" s="16" t="s">
        <v>652</v>
      </c>
      <c r="D87" s="24" t="s">
        <v>653</v>
      </c>
      <c r="E87" s="25">
        <v>1733</v>
      </c>
      <c r="F87" s="26" t="s">
        <v>644</v>
      </c>
      <c r="G87" s="16" t="s">
        <v>645</v>
      </c>
      <c r="H87" s="31">
        <v>26.2</v>
      </c>
      <c r="I87" s="31">
        <v>35.9</v>
      </c>
      <c r="J87" s="16" t="s">
        <v>40</v>
      </c>
    </row>
    <row r="88" spans="1:10">
      <c r="A88" s="19">
        <v>84</v>
      </c>
      <c r="B88" s="16" t="s">
        <v>641</v>
      </c>
      <c r="C88" s="16" t="s">
        <v>654</v>
      </c>
      <c r="D88" s="24" t="s">
        <v>655</v>
      </c>
      <c r="E88" s="25">
        <v>1223</v>
      </c>
      <c r="F88" s="26" t="s">
        <v>644</v>
      </c>
      <c r="G88" s="16" t="s">
        <v>645</v>
      </c>
      <c r="H88" s="31">
        <v>16.2</v>
      </c>
      <c r="I88" s="31">
        <v>23</v>
      </c>
      <c r="J88" s="16" t="s">
        <v>40</v>
      </c>
    </row>
    <row r="89" spans="1:10">
      <c r="A89" s="19">
        <v>85</v>
      </c>
      <c r="B89" s="16" t="s">
        <v>641</v>
      </c>
      <c r="C89" s="16" t="s">
        <v>656</v>
      </c>
      <c r="D89" s="24" t="s">
        <v>657</v>
      </c>
      <c r="E89" s="25">
        <v>1567</v>
      </c>
      <c r="F89" s="26" t="s">
        <v>644</v>
      </c>
      <c r="G89" s="16" t="s">
        <v>645</v>
      </c>
      <c r="H89" s="31">
        <v>23.4</v>
      </c>
      <c r="I89" s="31">
        <v>30.9</v>
      </c>
      <c r="J89" s="16" t="s">
        <v>40</v>
      </c>
    </row>
    <row r="90" spans="1:10">
      <c r="A90" s="19">
        <v>86</v>
      </c>
      <c r="B90" s="16" t="s">
        <v>641</v>
      </c>
      <c r="C90" s="16" t="s">
        <v>658</v>
      </c>
      <c r="D90" s="24" t="s">
        <v>659</v>
      </c>
      <c r="E90" s="25">
        <v>1405</v>
      </c>
      <c r="F90" s="26" t="s">
        <v>644</v>
      </c>
      <c r="G90" s="16" t="s">
        <v>645</v>
      </c>
      <c r="H90" s="31">
        <v>18.600000000000001</v>
      </c>
      <c r="I90" s="31">
        <v>24.3</v>
      </c>
      <c r="J90" s="16" t="s">
        <v>40</v>
      </c>
    </row>
    <row r="91" spans="1:10">
      <c r="A91" s="19">
        <v>87</v>
      </c>
      <c r="B91" s="16" t="s">
        <v>641</v>
      </c>
      <c r="C91" s="16" t="s">
        <v>660</v>
      </c>
      <c r="D91" s="24" t="s">
        <v>661</v>
      </c>
      <c r="E91" s="25">
        <v>1526</v>
      </c>
      <c r="F91" s="26" t="s">
        <v>644</v>
      </c>
      <c r="G91" s="16" t="s">
        <v>645</v>
      </c>
      <c r="H91" s="31">
        <v>26.1</v>
      </c>
      <c r="I91" s="31">
        <v>32.6</v>
      </c>
      <c r="J91" s="16" t="s">
        <v>40</v>
      </c>
    </row>
    <row r="92" spans="1:10">
      <c r="A92" s="19">
        <v>88</v>
      </c>
      <c r="B92" s="16" t="s">
        <v>641</v>
      </c>
      <c r="C92" s="16" t="s">
        <v>662</v>
      </c>
      <c r="D92" s="24" t="s">
        <v>663</v>
      </c>
      <c r="E92" s="25">
        <v>662</v>
      </c>
      <c r="F92" s="26" t="s">
        <v>644</v>
      </c>
      <c r="G92" s="16" t="s">
        <v>645</v>
      </c>
      <c r="H92" s="31">
        <v>32.1</v>
      </c>
      <c r="I92" s="31">
        <v>39.700000000000003</v>
      </c>
      <c r="J92" s="16" t="s">
        <v>40</v>
      </c>
    </row>
    <row r="93" spans="1:10">
      <c r="A93" s="19">
        <v>89</v>
      </c>
      <c r="B93" s="16" t="s">
        <v>641</v>
      </c>
      <c r="C93" s="16" t="s">
        <v>664</v>
      </c>
      <c r="D93" s="24" t="s">
        <v>665</v>
      </c>
      <c r="E93" s="25">
        <v>1506</v>
      </c>
      <c r="F93" s="26" t="s">
        <v>478</v>
      </c>
      <c r="G93" s="16" t="s">
        <v>479</v>
      </c>
      <c r="H93" s="31">
        <v>10.4</v>
      </c>
      <c r="I93" s="31">
        <v>10.4</v>
      </c>
      <c r="J93" s="16" t="s">
        <v>40</v>
      </c>
    </row>
    <row r="94" spans="1:10">
      <c r="A94" s="19">
        <v>90</v>
      </c>
      <c r="B94" s="16" t="s">
        <v>641</v>
      </c>
      <c r="C94" s="16" t="s">
        <v>666</v>
      </c>
      <c r="D94" s="24" t="s">
        <v>667</v>
      </c>
      <c r="E94" s="25">
        <v>1577</v>
      </c>
      <c r="F94" s="26" t="s">
        <v>644</v>
      </c>
      <c r="G94" s="16" t="s">
        <v>645</v>
      </c>
      <c r="H94" s="31">
        <v>27.7</v>
      </c>
      <c r="I94" s="31">
        <v>34.6</v>
      </c>
      <c r="J94" s="16" t="s">
        <v>40</v>
      </c>
    </row>
    <row r="95" spans="1:10">
      <c r="A95" s="19">
        <v>91</v>
      </c>
      <c r="B95" s="16" t="s">
        <v>641</v>
      </c>
      <c r="C95" s="16" t="s">
        <v>668</v>
      </c>
      <c r="D95" s="24" t="s">
        <v>669</v>
      </c>
      <c r="E95" s="25">
        <v>473</v>
      </c>
      <c r="F95" s="26" t="s">
        <v>644</v>
      </c>
      <c r="G95" s="16" t="s">
        <v>645</v>
      </c>
      <c r="H95" s="31">
        <v>37</v>
      </c>
      <c r="I95" s="31">
        <v>41</v>
      </c>
      <c r="J95" s="16" t="s">
        <v>40</v>
      </c>
    </row>
    <row r="96" spans="1:10">
      <c r="A96" s="19">
        <v>92</v>
      </c>
      <c r="B96" s="16" t="s">
        <v>641</v>
      </c>
      <c r="C96" s="16" t="s">
        <v>670</v>
      </c>
      <c r="D96" s="24" t="s">
        <v>671</v>
      </c>
      <c r="E96" s="25">
        <v>809</v>
      </c>
      <c r="F96" s="26" t="s">
        <v>644</v>
      </c>
      <c r="G96" s="16" t="s">
        <v>645</v>
      </c>
      <c r="H96" s="31">
        <v>24.5</v>
      </c>
      <c r="I96" s="31">
        <v>31.7</v>
      </c>
      <c r="J96" s="16" t="s">
        <v>40</v>
      </c>
    </row>
    <row r="97" spans="1:10">
      <c r="A97" s="19">
        <v>93</v>
      </c>
      <c r="B97" s="16" t="s">
        <v>641</v>
      </c>
      <c r="C97" s="16" t="s">
        <v>672</v>
      </c>
      <c r="D97" s="24" t="s">
        <v>673</v>
      </c>
      <c r="E97" s="25">
        <v>709</v>
      </c>
      <c r="F97" s="26" t="s">
        <v>478</v>
      </c>
      <c r="G97" s="16" t="s">
        <v>479</v>
      </c>
      <c r="H97" s="31">
        <v>17.5</v>
      </c>
      <c r="I97" s="31">
        <v>18.2</v>
      </c>
      <c r="J97" s="16" t="s">
        <v>40</v>
      </c>
    </row>
    <row r="98" spans="1:10">
      <c r="A98" s="19">
        <v>94</v>
      </c>
      <c r="B98" s="16" t="s">
        <v>641</v>
      </c>
      <c r="C98" s="16" t="s">
        <v>674</v>
      </c>
      <c r="D98" s="24" t="s">
        <v>675</v>
      </c>
      <c r="E98" s="25">
        <v>1414</v>
      </c>
      <c r="F98" s="26" t="s">
        <v>644</v>
      </c>
      <c r="G98" s="16" t="s">
        <v>645</v>
      </c>
      <c r="H98" s="31">
        <v>35.799999999999997</v>
      </c>
      <c r="I98" s="31">
        <v>46.9</v>
      </c>
      <c r="J98" s="16" t="s">
        <v>40</v>
      </c>
    </row>
    <row r="99" spans="1:10">
      <c r="A99" s="19">
        <v>95</v>
      </c>
      <c r="B99" s="16" t="s">
        <v>641</v>
      </c>
      <c r="C99" s="16" t="s">
        <v>676</v>
      </c>
      <c r="D99" s="24" t="s">
        <v>677</v>
      </c>
      <c r="E99" s="25">
        <v>1246</v>
      </c>
      <c r="F99" s="26" t="s">
        <v>644</v>
      </c>
      <c r="G99" s="16" t="s">
        <v>645</v>
      </c>
      <c r="H99" s="31">
        <v>32</v>
      </c>
      <c r="I99" s="31">
        <v>44.1</v>
      </c>
      <c r="J99" s="16" t="s">
        <v>40</v>
      </c>
    </row>
    <row r="100" spans="1:10">
      <c r="A100" s="19">
        <v>96</v>
      </c>
      <c r="B100" s="16" t="s">
        <v>641</v>
      </c>
      <c r="C100" s="16" t="s">
        <v>678</v>
      </c>
      <c r="D100" s="24" t="s">
        <v>679</v>
      </c>
      <c r="E100" s="25">
        <v>3009</v>
      </c>
      <c r="F100" s="26" t="s">
        <v>644</v>
      </c>
      <c r="G100" s="16" t="s">
        <v>645</v>
      </c>
      <c r="H100" s="31">
        <v>28.3</v>
      </c>
      <c r="I100" s="31">
        <v>38.799999999999997</v>
      </c>
      <c r="J100" s="16" t="s">
        <v>40</v>
      </c>
    </row>
    <row r="101" spans="1:10">
      <c r="A101" s="19">
        <v>97</v>
      </c>
      <c r="B101" s="16" t="s">
        <v>641</v>
      </c>
      <c r="C101" s="16" t="s">
        <v>680</v>
      </c>
      <c r="D101" s="24" t="s">
        <v>681</v>
      </c>
      <c r="E101" s="25">
        <v>2169</v>
      </c>
      <c r="F101" s="26" t="s">
        <v>644</v>
      </c>
      <c r="G101" s="16" t="s">
        <v>645</v>
      </c>
      <c r="H101" s="31">
        <v>34.200000000000003</v>
      </c>
      <c r="I101" s="31">
        <v>44.6</v>
      </c>
      <c r="J101" s="16" t="s">
        <v>40</v>
      </c>
    </row>
    <row r="102" spans="1:10">
      <c r="A102" s="19">
        <v>98</v>
      </c>
      <c r="B102" s="16" t="s">
        <v>641</v>
      </c>
      <c r="C102" s="16" t="s">
        <v>682</v>
      </c>
      <c r="D102" s="24" t="s">
        <v>683</v>
      </c>
      <c r="E102" s="25">
        <v>2092</v>
      </c>
      <c r="F102" s="26" t="s">
        <v>478</v>
      </c>
      <c r="G102" s="16" t="s">
        <v>479</v>
      </c>
      <c r="H102" s="31">
        <v>21.5</v>
      </c>
      <c r="I102" s="31">
        <v>28.5</v>
      </c>
      <c r="J102" s="16" t="s">
        <v>40</v>
      </c>
    </row>
    <row r="103" spans="1:10">
      <c r="A103" s="19">
        <v>99</v>
      </c>
      <c r="B103" s="16" t="s">
        <v>641</v>
      </c>
      <c r="C103" s="16" t="s">
        <v>684</v>
      </c>
      <c r="D103" s="24" t="s">
        <v>685</v>
      </c>
      <c r="E103" s="25">
        <v>1024</v>
      </c>
      <c r="F103" s="26" t="s">
        <v>644</v>
      </c>
      <c r="G103" s="16" t="s">
        <v>645</v>
      </c>
      <c r="H103" s="31">
        <v>21.8</v>
      </c>
      <c r="I103" s="31">
        <v>29.9</v>
      </c>
      <c r="J103" s="16" t="s">
        <v>40</v>
      </c>
    </row>
    <row r="104" spans="1:10">
      <c r="A104" s="19">
        <v>100</v>
      </c>
      <c r="B104" s="16" t="s">
        <v>641</v>
      </c>
      <c r="C104" s="16" t="s">
        <v>686</v>
      </c>
      <c r="D104" s="24" t="s">
        <v>687</v>
      </c>
      <c r="E104" s="25">
        <v>1592</v>
      </c>
      <c r="F104" s="26" t="s">
        <v>478</v>
      </c>
      <c r="G104" s="16" t="s">
        <v>479</v>
      </c>
      <c r="H104" s="31">
        <v>15.9</v>
      </c>
      <c r="I104" s="31">
        <v>19.7</v>
      </c>
      <c r="J104" s="16" t="s">
        <v>40</v>
      </c>
    </row>
    <row r="105" spans="1:10">
      <c r="A105" s="19">
        <v>101</v>
      </c>
      <c r="B105" s="16" t="s">
        <v>641</v>
      </c>
      <c r="C105" s="16" t="s">
        <v>688</v>
      </c>
      <c r="D105" s="24" t="s">
        <v>689</v>
      </c>
      <c r="E105" s="25">
        <v>853</v>
      </c>
      <c r="F105" s="26" t="s">
        <v>644</v>
      </c>
      <c r="G105" s="16" t="s">
        <v>645</v>
      </c>
      <c r="H105" s="31">
        <v>31.6</v>
      </c>
      <c r="I105" s="31">
        <v>41.9</v>
      </c>
      <c r="J105" s="16" t="s">
        <v>40</v>
      </c>
    </row>
    <row r="106" spans="1:10">
      <c r="A106" s="19">
        <v>102</v>
      </c>
      <c r="B106" s="16" t="s">
        <v>641</v>
      </c>
      <c r="C106" s="16" t="s">
        <v>690</v>
      </c>
      <c r="D106" s="24" t="s">
        <v>691</v>
      </c>
      <c r="E106" s="25">
        <v>1512</v>
      </c>
      <c r="F106" s="26" t="s">
        <v>644</v>
      </c>
      <c r="G106" s="16" t="s">
        <v>645</v>
      </c>
      <c r="H106" s="31">
        <v>33.5</v>
      </c>
      <c r="I106" s="31">
        <v>44.3</v>
      </c>
      <c r="J106" s="16" t="s">
        <v>40</v>
      </c>
    </row>
    <row r="107" spans="1:10">
      <c r="A107" s="19">
        <v>103</v>
      </c>
      <c r="B107" s="16" t="s">
        <v>641</v>
      </c>
      <c r="C107" s="16" t="s">
        <v>645</v>
      </c>
      <c r="D107" s="24" t="s">
        <v>692</v>
      </c>
      <c r="E107" s="25">
        <v>11946</v>
      </c>
      <c r="F107" s="26" t="s">
        <v>644</v>
      </c>
      <c r="G107" s="16" t="s">
        <v>645</v>
      </c>
      <c r="H107" s="31">
        <v>24.2</v>
      </c>
      <c r="I107" s="31">
        <v>33</v>
      </c>
      <c r="J107" s="16" t="s">
        <v>40</v>
      </c>
    </row>
    <row r="108" spans="1:10">
      <c r="A108" s="19">
        <v>104</v>
      </c>
      <c r="B108" s="16" t="s">
        <v>641</v>
      </c>
      <c r="C108" s="16" t="s">
        <v>693</v>
      </c>
      <c r="D108" s="24" t="s">
        <v>694</v>
      </c>
      <c r="E108" s="25">
        <v>2137</v>
      </c>
      <c r="F108" s="26" t="s">
        <v>478</v>
      </c>
      <c r="G108" s="16" t="s">
        <v>479</v>
      </c>
      <c r="H108" s="31">
        <v>11.2</v>
      </c>
      <c r="I108" s="31">
        <v>12.9</v>
      </c>
      <c r="J108" s="16" t="s">
        <v>40</v>
      </c>
    </row>
    <row r="109" spans="1:10">
      <c r="A109" s="19">
        <v>105</v>
      </c>
      <c r="B109" s="16" t="s">
        <v>641</v>
      </c>
      <c r="C109" s="16" t="s">
        <v>695</v>
      </c>
      <c r="D109" s="24" t="s">
        <v>696</v>
      </c>
      <c r="E109" s="25">
        <v>2727</v>
      </c>
      <c r="F109" s="26" t="s">
        <v>478</v>
      </c>
      <c r="G109" s="16" t="s">
        <v>479</v>
      </c>
      <c r="H109" s="31">
        <v>8.6</v>
      </c>
      <c r="I109" s="31">
        <v>11.2</v>
      </c>
      <c r="J109" s="16" t="s">
        <v>40</v>
      </c>
    </row>
    <row r="110" spans="1:10">
      <c r="A110" s="19">
        <v>106</v>
      </c>
      <c r="B110" s="16" t="s">
        <v>697</v>
      </c>
      <c r="C110" s="16" t="s">
        <v>698</v>
      </c>
      <c r="D110" s="24" t="s">
        <v>699</v>
      </c>
      <c r="E110" s="25">
        <v>1382</v>
      </c>
      <c r="F110" s="26" t="s">
        <v>700</v>
      </c>
      <c r="G110" s="16" t="s">
        <v>701</v>
      </c>
      <c r="H110" s="31">
        <v>30.3</v>
      </c>
      <c r="I110" s="31">
        <v>37.5</v>
      </c>
      <c r="J110" s="16" t="s">
        <v>40</v>
      </c>
    </row>
    <row r="111" spans="1:10">
      <c r="A111" s="19">
        <v>107</v>
      </c>
      <c r="B111" s="16" t="s">
        <v>697</v>
      </c>
      <c r="C111" s="16" t="s">
        <v>702</v>
      </c>
      <c r="D111" s="24" t="s">
        <v>703</v>
      </c>
      <c r="E111" s="25">
        <v>1162</v>
      </c>
      <c r="F111" s="26" t="s">
        <v>700</v>
      </c>
      <c r="G111" s="16" t="s">
        <v>701</v>
      </c>
      <c r="H111" s="31">
        <v>39.299999999999997</v>
      </c>
      <c r="I111" s="31">
        <v>50.6</v>
      </c>
      <c r="J111" s="16" t="s">
        <v>40</v>
      </c>
    </row>
    <row r="112" spans="1:10">
      <c r="A112" s="19">
        <v>108</v>
      </c>
      <c r="B112" s="16" t="s">
        <v>697</v>
      </c>
      <c r="C112" s="16" t="s">
        <v>704</v>
      </c>
      <c r="D112" s="24" t="s">
        <v>705</v>
      </c>
      <c r="E112" s="25">
        <v>1832</v>
      </c>
      <c r="F112" s="26" t="s">
        <v>700</v>
      </c>
      <c r="G112" s="16" t="s">
        <v>701</v>
      </c>
      <c r="H112" s="31">
        <v>42.5</v>
      </c>
      <c r="I112" s="31">
        <v>53.7</v>
      </c>
      <c r="J112" s="16" t="s">
        <v>40</v>
      </c>
    </row>
    <row r="113" spans="1:10">
      <c r="A113" s="19">
        <v>109</v>
      </c>
      <c r="B113" s="16" t="s">
        <v>697</v>
      </c>
      <c r="C113" s="16" t="s">
        <v>706</v>
      </c>
      <c r="D113" s="24" t="s">
        <v>707</v>
      </c>
      <c r="E113" s="25">
        <v>731</v>
      </c>
      <c r="F113" s="26" t="s">
        <v>700</v>
      </c>
      <c r="G113" s="16" t="s">
        <v>701</v>
      </c>
      <c r="H113" s="31">
        <v>27.1</v>
      </c>
      <c r="I113" s="31">
        <v>31.5</v>
      </c>
      <c r="J113" s="16" t="s">
        <v>40</v>
      </c>
    </row>
    <row r="114" spans="1:10">
      <c r="A114" s="19">
        <v>110</v>
      </c>
      <c r="B114" s="16" t="s">
        <v>697</v>
      </c>
      <c r="C114" s="16" t="s">
        <v>708</v>
      </c>
      <c r="D114" s="24" t="s">
        <v>709</v>
      </c>
      <c r="E114" s="25">
        <v>1206</v>
      </c>
      <c r="F114" s="26" t="s">
        <v>700</v>
      </c>
      <c r="G114" s="16" t="s">
        <v>701</v>
      </c>
      <c r="H114" s="31">
        <v>21.6</v>
      </c>
      <c r="I114" s="31">
        <v>26.5</v>
      </c>
      <c r="J114" s="16" t="s">
        <v>40</v>
      </c>
    </row>
    <row r="115" spans="1:10">
      <c r="A115" s="19">
        <v>111</v>
      </c>
      <c r="B115" s="16" t="s">
        <v>697</v>
      </c>
      <c r="C115" s="16" t="s">
        <v>710</v>
      </c>
      <c r="D115" s="24" t="s">
        <v>711</v>
      </c>
      <c r="E115" s="25">
        <v>721</v>
      </c>
      <c r="F115" s="26" t="s">
        <v>700</v>
      </c>
      <c r="G115" s="16" t="s">
        <v>701</v>
      </c>
      <c r="H115" s="31">
        <v>23.3</v>
      </c>
      <c r="I115" s="31">
        <v>27.7</v>
      </c>
      <c r="J115" s="16" t="s">
        <v>40</v>
      </c>
    </row>
    <row r="116" spans="1:10">
      <c r="A116" s="19">
        <v>112</v>
      </c>
      <c r="B116" s="16" t="s">
        <v>697</v>
      </c>
      <c r="C116" s="16" t="s">
        <v>712</v>
      </c>
      <c r="D116" s="24" t="s">
        <v>713</v>
      </c>
      <c r="E116" s="25">
        <v>591</v>
      </c>
      <c r="F116" s="26" t="s">
        <v>700</v>
      </c>
      <c r="G116" s="16" t="s">
        <v>701</v>
      </c>
      <c r="H116" s="31">
        <v>32.1</v>
      </c>
      <c r="I116" s="31">
        <v>35</v>
      </c>
      <c r="J116" s="16" t="s">
        <v>40</v>
      </c>
    </row>
    <row r="117" spans="1:10">
      <c r="A117" s="19">
        <v>113</v>
      </c>
      <c r="B117" s="16" t="s">
        <v>697</v>
      </c>
      <c r="C117" s="16" t="s">
        <v>714</v>
      </c>
      <c r="D117" s="24" t="s">
        <v>715</v>
      </c>
      <c r="E117" s="25">
        <v>1932</v>
      </c>
      <c r="F117" s="26" t="s">
        <v>700</v>
      </c>
      <c r="G117" s="16" t="s">
        <v>701</v>
      </c>
      <c r="H117" s="31">
        <v>30.4</v>
      </c>
      <c r="I117" s="31">
        <v>35.6</v>
      </c>
      <c r="J117" s="16" t="s">
        <v>40</v>
      </c>
    </row>
    <row r="118" spans="1:10">
      <c r="A118" s="19">
        <v>114</v>
      </c>
      <c r="B118" s="16" t="s">
        <v>697</v>
      </c>
      <c r="C118" s="16" t="s">
        <v>716</v>
      </c>
      <c r="D118" s="24" t="s">
        <v>717</v>
      </c>
      <c r="E118" s="25">
        <v>1418</v>
      </c>
      <c r="F118" s="26" t="s">
        <v>700</v>
      </c>
      <c r="G118" s="16" t="s">
        <v>701</v>
      </c>
      <c r="H118" s="31">
        <v>33.799999999999997</v>
      </c>
      <c r="I118" s="31">
        <v>45</v>
      </c>
      <c r="J118" s="16" t="s">
        <v>40</v>
      </c>
    </row>
    <row r="119" spans="1:10">
      <c r="A119" s="19">
        <v>115</v>
      </c>
      <c r="B119" s="16" t="s">
        <v>697</v>
      </c>
      <c r="C119" s="16" t="s">
        <v>718</v>
      </c>
      <c r="D119" s="24" t="s">
        <v>719</v>
      </c>
      <c r="E119" s="25">
        <v>768</v>
      </c>
      <c r="F119" s="26" t="s">
        <v>700</v>
      </c>
      <c r="G119" s="16" t="s">
        <v>701</v>
      </c>
      <c r="H119" s="31">
        <v>24.7</v>
      </c>
      <c r="I119" s="31">
        <v>34.6</v>
      </c>
      <c r="J119" s="16" t="s">
        <v>40</v>
      </c>
    </row>
    <row r="120" spans="1:10">
      <c r="A120" s="19">
        <v>116</v>
      </c>
      <c r="B120" s="16" t="s">
        <v>697</v>
      </c>
      <c r="C120" s="16" t="s">
        <v>720</v>
      </c>
      <c r="D120" s="24" t="s">
        <v>721</v>
      </c>
      <c r="E120" s="25">
        <v>1396</v>
      </c>
      <c r="F120" s="26" t="s">
        <v>700</v>
      </c>
      <c r="G120" s="16" t="s">
        <v>701</v>
      </c>
      <c r="H120" s="31">
        <v>44.3</v>
      </c>
      <c r="I120" s="31">
        <v>45.1</v>
      </c>
      <c r="J120" s="16" t="s">
        <v>40</v>
      </c>
    </row>
    <row r="121" spans="1:10">
      <c r="A121" s="19">
        <v>117</v>
      </c>
      <c r="B121" s="16" t="s">
        <v>697</v>
      </c>
      <c r="C121" s="16" t="s">
        <v>722</v>
      </c>
      <c r="D121" s="24" t="s">
        <v>723</v>
      </c>
      <c r="E121" s="25">
        <v>1903</v>
      </c>
      <c r="F121" s="26" t="s">
        <v>700</v>
      </c>
      <c r="G121" s="16" t="s">
        <v>701</v>
      </c>
      <c r="H121" s="31">
        <v>30.4</v>
      </c>
      <c r="I121" s="31">
        <v>39.700000000000003</v>
      </c>
      <c r="J121" s="16" t="s">
        <v>40</v>
      </c>
    </row>
    <row r="122" spans="1:10">
      <c r="A122" s="19">
        <v>118</v>
      </c>
      <c r="B122" s="16" t="s">
        <v>697</v>
      </c>
      <c r="C122" s="16" t="s">
        <v>724</v>
      </c>
      <c r="D122" s="24" t="s">
        <v>725</v>
      </c>
      <c r="E122" s="25">
        <v>1154</v>
      </c>
      <c r="F122" s="26" t="s">
        <v>700</v>
      </c>
      <c r="G122" s="16" t="s">
        <v>701</v>
      </c>
      <c r="H122" s="31">
        <v>21.7</v>
      </c>
      <c r="I122" s="31">
        <v>30</v>
      </c>
      <c r="J122" s="16" t="s">
        <v>40</v>
      </c>
    </row>
    <row r="123" spans="1:10">
      <c r="A123" s="19">
        <v>119</v>
      </c>
      <c r="B123" s="16" t="s">
        <v>726</v>
      </c>
      <c r="C123" s="16" t="s">
        <v>727</v>
      </c>
      <c r="D123" s="24"/>
      <c r="E123" s="25">
        <v>0</v>
      </c>
      <c r="F123" s="26" t="s">
        <v>700</v>
      </c>
      <c r="G123" s="16" t="s">
        <v>701</v>
      </c>
      <c r="H123" s="31">
        <v>25</v>
      </c>
      <c r="I123" s="31">
        <v>33.200000000000003</v>
      </c>
      <c r="J123" s="16" t="s">
        <v>40</v>
      </c>
    </row>
    <row r="124" spans="1:10">
      <c r="A124" s="19">
        <v>120</v>
      </c>
      <c r="B124" s="16" t="s">
        <v>697</v>
      </c>
      <c r="C124" s="16" t="s">
        <v>701</v>
      </c>
      <c r="D124" s="24" t="s">
        <v>728</v>
      </c>
      <c r="E124" s="25">
        <v>10925</v>
      </c>
      <c r="F124" s="26" t="s">
        <v>700</v>
      </c>
      <c r="G124" s="16" t="s">
        <v>701</v>
      </c>
      <c r="H124" s="31">
        <v>27</v>
      </c>
      <c r="I124" s="31">
        <v>37.700000000000003</v>
      </c>
      <c r="J124" s="16" t="s">
        <v>40</v>
      </c>
    </row>
    <row r="125" spans="1:10">
      <c r="A125" s="19">
        <v>121</v>
      </c>
      <c r="B125" s="16" t="s">
        <v>697</v>
      </c>
      <c r="C125" s="16" t="s">
        <v>729</v>
      </c>
      <c r="D125" s="24" t="s">
        <v>730</v>
      </c>
      <c r="E125" s="25">
        <v>1049</v>
      </c>
      <c r="F125" s="26" t="s">
        <v>700</v>
      </c>
      <c r="G125" s="16" t="s">
        <v>701</v>
      </c>
      <c r="H125" s="31">
        <v>28.5</v>
      </c>
      <c r="I125" s="31">
        <v>37.200000000000003</v>
      </c>
      <c r="J125" s="16" t="s">
        <v>40</v>
      </c>
    </row>
    <row r="126" spans="1:10">
      <c r="A126" s="19">
        <v>122</v>
      </c>
      <c r="B126" s="16" t="s">
        <v>697</v>
      </c>
      <c r="C126" s="16" t="s">
        <v>731</v>
      </c>
      <c r="D126" s="24" t="s">
        <v>732</v>
      </c>
      <c r="E126" s="25">
        <v>1220</v>
      </c>
      <c r="F126" s="26" t="s">
        <v>700</v>
      </c>
      <c r="G126" s="16" t="s">
        <v>701</v>
      </c>
      <c r="H126" s="31">
        <v>15.6</v>
      </c>
      <c r="I126" s="31">
        <v>21</v>
      </c>
      <c r="J126" s="16" t="s">
        <v>40</v>
      </c>
    </row>
    <row r="127" spans="1:10">
      <c r="A127" s="19">
        <v>123</v>
      </c>
      <c r="B127" s="16" t="s">
        <v>733</v>
      </c>
      <c r="C127" s="16" t="s">
        <v>734</v>
      </c>
      <c r="D127" s="24" t="s">
        <v>735</v>
      </c>
      <c r="E127" s="25">
        <v>944</v>
      </c>
      <c r="F127" s="26" t="s">
        <v>736</v>
      </c>
      <c r="G127" s="16" t="s">
        <v>737</v>
      </c>
      <c r="H127" s="31">
        <v>35.5</v>
      </c>
      <c r="I127" s="31">
        <v>43.1</v>
      </c>
      <c r="J127" s="16" t="s">
        <v>40</v>
      </c>
    </row>
    <row r="128" spans="1:10">
      <c r="A128" s="19">
        <v>124</v>
      </c>
      <c r="B128" s="16" t="s">
        <v>733</v>
      </c>
      <c r="C128" s="16" t="s">
        <v>738</v>
      </c>
      <c r="D128" s="24" t="s">
        <v>739</v>
      </c>
      <c r="E128" s="25">
        <v>1957</v>
      </c>
      <c r="F128" s="26" t="s">
        <v>736</v>
      </c>
      <c r="G128" s="16" t="s">
        <v>737</v>
      </c>
      <c r="H128" s="31">
        <v>42.9</v>
      </c>
      <c r="I128" s="31">
        <v>51</v>
      </c>
      <c r="J128" s="16" t="s">
        <v>40</v>
      </c>
    </row>
    <row r="129" spans="1:10">
      <c r="A129" s="19">
        <v>125</v>
      </c>
      <c r="B129" s="16" t="s">
        <v>733</v>
      </c>
      <c r="C129" s="16" t="s">
        <v>740</v>
      </c>
      <c r="D129" s="24" t="s">
        <v>741</v>
      </c>
      <c r="E129" s="25">
        <v>1434</v>
      </c>
      <c r="F129" s="26" t="s">
        <v>736</v>
      </c>
      <c r="G129" s="16" t="s">
        <v>737</v>
      </c>
      <c r="H129" s="31">
        <v>44</v>
      </c>
      <c r="I129" s="31">
        <v>53.1</v>
      </c>
      <c r="J129" s="16" t="s">
        <v>40</v>
      </c>
    </row>
    <row r="130" spans="1:10">
      <c r="A130" s="19">
        <v>126</v>
      </c>
      <c r="B130" s="16" t="s">
        <v>733</v>
      </c>
      <c r="C130" s="16" t="s">
        <v>742</v>
      </c>
      <c r="D130" s="24" t="s">
        <v>743</v>
      </c>
      <c r="E130" s="25">
        <v>3361</v>
      </c>
      <c r="F130" s="26" t="s">
        <v>736</v>
      </c>
      <c r="G130" s="16" t="s">
        <v>737</v>
      </c>
      <c r="H130" s="31">
        <v>43.1</v>
      </c>
      <c r="I130" s="31">
        <v>53.8</v>
      </c>
      <c r="J130" s="16" t="s">
        <v>40</v>
      </c>
    </row>
    <row r="131" spans="1:10">
      <c r="A131" s="19">
        <v>127</v>
      </c>
      <c r="B131" s="16" t="s">
        <v>733</v>
      </c>
      <c r="C131" s="16" t="s">
        <v>744</v>
      </c>
      <c r="D131" s="24" t="s">
        <v>745</v>
      </c>
      <c r="E131" s="25">
        <v>1190</v>
      </c>
      <c r="F131" s="26" t="s">
        <v>736</v>
      </c>
      <c r="G131" s="16" t="s">
        <v>737</v>
      </c>
      <c r="H131" s="31">
        <v>42.9</v>
      </c>
      <c r="I131" s="31">
        <v>51.3</v>
      </c>
      <c r="J131" s="16" t="s">
        <v>40</v>
      </c>
    </row>
    <row r="132" spans="1:10">
      <c r="A132" s="19">
        <v>128</v>
      </c>
      <c r="B132" s="16" t="s">
        <v>733</v>
      </c>
      <c r="C132" s="16" t="s">
        <v>746</v>
      </c>
      <c r="D132" s="24" t="s">
        <v>747</v>
      </c>
      <c r="E132" s="25">
        <v>1778</v>
      </c>
      <c r="F132" s="26" t="s">
        <v>736</v>
      </c>
      <c r="G132" s="16" t="s">
        <v>737</v>
      </c>
      <c r="H132" s="31">
        <v>45.1</v>
      </c>
      <c r="I132" s="31">
        <v>56.4</v>
      </c>
      <c r="J132" s="16" t="s">
        <v>40</v>
      </c>
    </row>
    <row r="133" spans="1:10">
      <c r="A133" s="19">
        <v>129</v>
      </c>
      <c r="B133" s="16" t="s">
        <v>733</v>
      </c>
      <c r="C133" s="16" t="s">
        <v>748</v>
      </c>
      <c r="D133" s="24" t="s">
        <v>749</v>
      </c>
      <c r="E133" s="25">
        <v>1907</v>
      </c>
      <c r="F133" s="26" t="s">
        <v>736</v>
      </c>
      <c r="G133" s="16" t="s">
        <v>737</v>
      </c>
      <c r="H133" s="31">
        <v>31.4</v>
      </c>
      <c r="I133" s="31">
        <v>40.200000000000003</v>
      </c>
      <c r="J133" s="16" t="s">
        <v>40</v>
      </c>
    </row>
    <row r="134" spans="1:10">
      <c r="A134" s="19">
        <v>130</v>
      </c>
      <c r="B134" s="16" t="s">
        <v>733</v>
      </c>
      <c r="C134" s="16" t="s">
        <v>750</v>
      </c>
      <c r="D134" s="24" t="s">
        <v>751</v>
      </c>
      <c r="E134" s="25">
        <v>1580</v>
      </c>
      <c r="F134" s="26" t="s">
        <v>736</v>
      </c>
      <c r="G134" s="16" t="s">
        <v>737</v>
      </c>
      <c r="H134" s="31">
        <v>22.1</v>
      </c>
      <c r="I134" s="31">
        <v>26</v>
      </c>
      <c r="J134" s="16" t="s">
        <v>40</v>
      </c>
    </row>
    <row r="135" spans="1:10">
      <c r="A135" s="19">
        <v>131</v>
      </c>
      <c r="B135" s="16" t="s">
        <v>733</v>
      </c>
      <c r="C135" s="16" t="s">
        <v>752</v>
      </c>
      <c r="D135" s="24" t="s">
        <v>753</v>
      </c>
      <c r="E135" s="25">
        <v>1069</v>
      </c>
      <c r="F135" s="26" t="s">
        <v>736</v>
      </c>
      <c r="G135" s="16" t="s">
        <v>737</v>
      </c>
      <c r="H135" s="31">
        <v>41.4</v>
      </c>
      <c r="I135" s="31">
        <v>52.1</v>
      </c>
      <c r="J135" s="16" t="s">
        <v>40</v>
      </c>
    </row>
    <row r="136" spans="1:10">
      <c r="A136" s="19">
        <v>132</v>
      </c>
      <c r="B136" s="16" t="s">
        <v>733</v>
      </c>
      <c r="C136" s="16" t="s">
        <v>754</v>
      </c>
      <c r="D136" s="24" t="s">
        <v>755</v>
      </c>
      <c r="E136" s="25">
        <v>1199</v>
      </c>
      <c r="F136" s="26" t="s">
        <v>736</v>
      </c>
      <c r="G136" s="16" t="s">
        <v>737</v>
      </c>
      <c r="H136" s="31">
        <v>34.799999999999997</v>
      </c>
      <c r="I136" s="31">
        <v>42.3</v>
      </c>
      <c r="J136" s="16" t="s">
        <v>40</v>
      </c>
    </row>
    <row r="137" spans="1:10">
      <c r="A137" s="19">
        <v>133</v>
      </c>
      <c r="B137" s="16" t="s">
        <v>733</v>
      </c>
      <c r="C137" s="16" t="s">
        <v>756</v>
      </c>
      <c r="D137" s="24" t="s">
        <v>757</v>
      </c>
      <c r="E137" s="25">
        <v>498</v>
      </c>
      <c r="F137" s="26" t="s">
        <v>736</v>
      </c>
      <c r="G137" s="16" t="s">
        <v>737</v>
      </c>
      <c r="H137" s="31">
        <v>18.5</v>
      </c>
      <c r="I137" s="31">
        <v>23</v>
      </c>
      <c r="J137" s="16" t="s">
        <v>40</v>
      </c>
    </row>
    <row r="138" spans="1:10">
      <c r="A138" s="19">
        <v>134</v>
      </c>
      <c r="B138" s="16" t="s">
        <v>733</v>
      </c>
      <c r="C138" s="16" t="s">
        <v>758</v>
      </c>
      <c r="D138" s="24" t="s">
        <v>759</v>
      </c>
      <c r="E138" s="25">
        <v>1778</v>
      </c>
      <c r="F138" s="26" t="s">
        <v>736</v>
      </c>
      <c r="G138" s="16" t="s">
        <v>737</v>
      </c>
      <c r="H138" s="31">
        <v>17.3</v>
      </c>
      <c r="I138" s="31">
        <v>20.9</v>
      </c>
      <c r="J138" s="16" t="s">
        <v>40</v>
      </c>
    </row>
    <row r="139" spans="1:10">
      <c r="A139" s="19">
        <v>135</v>
      </c>
      <c r="B139" s="16" t="s">
        <v>733</v>
      </c>
      <c r="C139" s="16" t="s">
        <v>760</v>
      </c>
      <c r="D139" s="24" t="s">
        <v>761</v>
      </c>
      <c r="E139" s="25">
        <v>2368</v>
      </c>
      <c r="F139" s="26" t="s">
        <v>736</v>
      </c>
      <c r="G139" s="16" t="s">
        <v>737</v>
      </c>
      <c r="H139" s="31">
        <v>31.2</v>
      </c>
      <c r="I139" s="31">
        <v>39.6</v>
      </c>
      <c r="J139" s="16" t="s">
        <v>40</v>
      </c>
    </row>
    <row r="140" spans="1:10">
      <c r="A140" s="19">
        <v>136</v>
      </c>
      <c r="B140" s="16" t="s">
        <v>733</v>
      </c>
      <c r="C140" s="16" t="s">
        <v>762</v>
      </c>
      <c r="D140" s="24" t="s">
        <v>763</v>
      </c>
      <c r="E140" s="25">
        <v>1079</v>
      </c>
      <c r="F140" s="26" t="s">
        <v>736</v>
      </c>
      <c r="G140" s="16" t="s">
        <v>737</v>
      </c>
      <c r="H140" s="31">
        <v>24.4</v>
      </c>
      <c r="I140" s="31">
        <v>28.6</v>
      </c>
      <c r="J140" s="16" t="s">
        <v>40</v>
      </c>
    </row>
    <row r="141" spans="1:10">
      <c r="A141" s="19">
        <v>137</v>
      </c>
      <c r="B141" s="16" t="s">
        <v>733</v>
      </c>
      <c r="C141" s="16" t="s">
        <v>764</v>
      </c>
      <c r="D141" s="24" t="s">
        <v>765</v>
      </c>
      <c r="E141" s="25">
        <v>1107</v>
      </c>
      <c r="F141" s="26" t="s">
        <v>736</v>
      </c>
      <c r="G141" s="16" t="s">
        <v>737</v>
      </c>
      <c r="H141" s="31">
        <v>28.8</v>
      </c>
      <c r="I141" s="31">
        <v>33.799999999999997</v>
      </c>
      <c r="J141" s="16" t="s">
        <v>40</v>
      </c>
    </row>
    <row r="142" spans="1:10">
      <c r="A142" s="19">
        <v>138</v>
      </c>
      <c r="B142" s="16" t="s">
        <v>733</v>
      </c>
      <c r="C142" s="16" t="s">
        <v>737</v>
      </c>
      <c r="D142" s="24" t="s">
        <v>766</v>
      </c>
      <c r="E142" s="25">
        <v>7284</v>
      </c>
      <c r="F142" s="26" t="s">
        <v>736</v>
      </c>
      <c r="G142" s="16" t="s">
        <v>737</v>
      </c>
      <c r="H142" s="31">
        <v>25.4</v>
      </c>
      <c r="I142" s="31">
        <v>33.200000000000003</v>
      </c>
      <c r="J142" s="16" t="s">
        <v>40</v>
      </c>
    </row>
    <row r="143" spans="1:10">
      <c r="A143" s="19">
        <v>139</v>
      </c>
      <c r="B143" s="16" t="s">
        <v>733</v>
      </c>
      <c r="C143" s="16" t="s">
        <v>767</v>
      </c>
      <c r="D143" s="24" t="s">
        <v>768</v>
      </c>
      <c r="E143" s="25">
        <v>1224</v>
      </c>
      <c r="F143" s="26" t="s">
        <v>736</v>
      </c>
      <c r="G143" s="16" t="s">
        <v>737</v>
      </c>
      <c r="H143" s="31">
        <v>30.1</v>
      </c>
      <c r="I143" s="31">
        <v>38.1</v>
      </c>
      <c r="J143" s="16" t="s">
        <v>40</v>
      </c>
    </row>
    <row r="144" spans="1:10">
      <c r="A144" s="19">
        <v>140</v>
      </c>
      <c r="B144" s="16" t="s">
        <v>733</v>
      </c>
      <c r="C144" s="16" t="s">
        <v>769</v>
      </c>
      <c r="D144" s="24" t="s">
        <v>770</v>
      </c>
      <c r="E144" s="25">
        <v>2968</v>
      </c>
      <c r="F144" s="26" t="s">
        <v>736</v>
      </c>
      <c r="G144" s="16" t="s">
        <v>737</v>
      </c>
      <c r="H144" s="31">
        <v>17.3</v>
      </c>
      <c r="I144" s="31">
        <v>20.9</v>
      </c>
      <c r="J144" s="16" t="s">
        <v>40</v>
      </c>
    </row>
    <row r="145" spans="1:10">
      <c r="A145" s="19">
        <v>141</v>
      </c>
      <c r="B145" s="16" t="s">
        <v>733</v>
      </c>
      <c r="C145" s="16" t="s">
        <v>268</v>
      </c>
      <c r="D145" s="24" t="s">
        <v>771</v>
      </c>
      <c r="E145" s="25">
        <v>1104</v>
      </c>
      <c r="F145" s="26" t="s">
        <v>736</v>
      </c>
      <c r="G145" s="16" t="s">
        <v>737</v>
      </c>
      <c r="H145" s="31">
        <v>32.200000000000003</v>
      </c>
      <c r="I145" s="31">
        <v>35.799999999999997</v>
      </c>
      <c r="J145" s="16" t="s">
        <v>40</v>
      </c>
    </row>
    <row r="146" spans="1:10">
      <c r="A146" s="19">
        <v>142</v>
      </c>
      <c r="B146" s="16" t="s">
        <v>772</v>
      </c>
      <c r="C146" s="16" t="s">
        <v>773</v>
      </c>
      <c r="D146" s="24" t="s">
        <v>774</v>
      </c>
      <c r="E146" s="25">
        <v>1778</v>
      </c>
      <c r="F146" s="26" t="s">
        <v>527</v>
      </c>
      <c r="G146" s="16" t="s">
        <v>528</v>
      </c>
      <c r="H146" s="31">
        <v>63.1</v>
      </c>
      <c r="I146" s="31">
        <v>81.599999999999994</v>
      </c>
      <c r="J146" s="16" t="s">
        <v>40</v>
      </c>
    </row>
    <row r="147" spans="1:10">
      <c r="A147" s="19">
        <v>143</v>
      </c>
      <c r="B147" s="16" t="s">
        <v>772</v>
      </c>
      <c r="C147" s="16" t="s">
        <v>775</v>
      </c>
      <c r="D147" s="24" t="s">
        <v>776</v>
      </c>
      <c r="E147" s="25">
        <v>1246</v>
      </c>
      <c r="F147" s="26" t="s">
        <v>777</v>
      </c>
      <c r="G147" s="16" t="s">
        <v>778</v>
      </c>
      <c r="H147" s="31">
        <v>67.5</v>
      </c>
      <c r="I147" s="31">
        <v>86.7</v>
      </c>
      <c r="J147" s="16" t="s">
        <v>40</v>
      </c>
    </row>
    <row r="148" spans="1:10">
      <c r="A148" s="19">
        <v>144</v>
      </c>
      <c r="B148" s="16" t="s">
        <v>772</v>
      </c>
      <c r="C148" s="16" t="s">
        <v>779</v>
      </c>
      <c r="D148" s="24" t="s">
        <v>780</v>
      </c>
      <c r="E148" s="25">
        <v>906</v>
      </c>
      <c r="F148" s="26" t="s">
        <v>777</v>
      </c>
      <c r="G148" s="16" t="s">
        <v>778</v>
      </c>
      <c r="H148" s="31">
        <v>71</v>
      </c>
      <c r="I148" s="31">
        <v>90.3</v>
      </c>
      <c r="J148" s="16" t="s">
        <v>40</v>
      </c>
    </row>
    <row r="149" spans="1:10">
      <c r="A149" s="19">
        <v>145</v>
      </c>
      <c r="B149" s="16" t="s">
        <v>772</v>
      </c>
      <c r="C149" s="16" t="s">
        <v>781</v>
      </c>
      <c r="D149" s="24" t="s">
        <v>782</v>
      </c>
      <c r="E149" s="25">
        <v>674</v>
      </c>
      <c r="F149" s="26" t="s">
        <v>513</v>
      </c>
      <c r="G149" s="16" t="s">
        <v>514</v>
      </c>
      <c r="H149" s="31">
        <v>74.5</v>
      </c>
      <c r="I149" s="31">
        <v>97.6</v>
      </c>
      <c r="J149" s="16" t="s">
        <v>40</v>
      </c>
    </row>
    <row r="150" spans="1:10">
      <c r="A150" s="19">
        <v>146</v>
      </c>
      <c r="B150" s="16" t="s">
        <v>783</v>
      </c>
      <c r="C150" s="16" t="s">
        <v>784</v>
      </c>
      <c r="D150" s="24"/>
      <c r="E150" s="25">
        <v>0</v>
      </c>
      <c r="F150" s="26" t="s">
        <v>527</v>
      </c>
      <c r="G150" s="16" t="s">
        <v>528</v>
      </c>
      <c r="H150" s="31">
        <v>66.400000000000006</v>
      </c>
      <c r="I150" s="31">
        <v>76.2</v>
      </c>
      <c r="J150" s="16" t="s">
        <v>40</v>
      </c>
    </row>
    <row r="151" spans="1:10">
      <c r="A151" s="19">
        <v>147</v>
      </c>
      <c r="B151" s="16" t="s">
        <v>783</v>
      </c>
      <c r="C151" s="16" t="s">
        <v>372</v>
      </c>
      <c r="D151" s="24"/>
      <c r="E151" s="25">
        <v>0</v>
      </c>
      <c r="F151" s="26" t="s">
        <v>498</v>
      </c>
      <c r="G151" s="16" t="s">
        <v>499</v>
      </c>
      <c r="H151" s="31">
        <v>60.2</v>
      </c>
      <c r="I151" s="31">
        <v>68</v>
      </c>
      <c r="J151" s="16" t="s">
        <v>40</v>
      </c>
    </row>
    <row r="152" spans="1:10">
      <c r="A152" s="19">
        <v>148</v>
      </c>
      <c r="B152" s="16" t="s">
        <v>785</v>
      </c>
      <c r="C152" s="16" t="s">
        <v>786</v>
      </c>
      <c r="D152" s="24" t="s">
        <v>787</v>
      </c>
      <c r="E152" s="25">
        <v>3922</v>
      </c>
      <c r="F152" s="26" t="s">
        <v>478</v>
      </c>
      <c r="G152" s="16" t="s">
        <v>479</v>
      </c>
      <c r="H152" s="31">
        <v>17.5</v>
      </c>
      <c r="I152" s="31">
        <v>20</v>
      </c>
      <c r="J152" s="16" t="s">
        <v>40</v>
      </c>
    </row>
    <row r="153" spans="1:10">
      <c r="A153" s="19">
        <v>149</v>
      </c>
      <c r="B153" s="16" t="s">
        <v>785</v>
      </c>
      <c r="C153" s="16" t="s">
        <v>788</v>
      </c>
      <c r="D153" s="24" t="s">
        <v>789</v>
      </c>
      <c r="E153" s="25">
        <v>1607</v>
      </c>
      <c r="F153" s="26" t="s">
        <v>573</v>
      </c>
      <c r="G153" s="16" t="s">
        <v>574</v>
      </c>
      <c r="H153" s="31">
        <v>43</v>
      </c>
      <c r="I153" s="31">
        <v>50.9</v>
      </c>
      <c r="J153" s="16" t="s">
        <v>40</v>
      </c>
    </row>
    <row r="154" spans="1:10">
      <c r="A154" s="19">
        <v>150</v>
      </c>
      <c r="B154" s="16" t="s">
        <v>785</v>
      </c>
      <c r="C154" s="16" t="s">
        <v>790</v>
      </c>
      <c r="D154" s="24" t="s">
        <v>791</v>
      </c>
      <c r="E154" s="25">
        <v>1313</v>
      </c>
      <c r="F154" s="26" t="s">
        <v>478</v>
      </c>
      <c r="G154" s="16" t="s">
        <v>479</v>
      </c>
      <c r="H154" s="31">
        <v>9.1</v>
      </c>
      <c r="I154" s="31">
        <v>10.7</v>
      </c>
      <c r="J154" s="16" t="s">
        <v>40</v>
      </c>
    </row>
    <row r="155" spans="1:10">
      <c r="A155" s="19">
        <v>151</v>
      </c>
      <c r="B155" s="16" t="s">
        <v>785</v>
      </c>
      <c r="C155" s="16" t="s">
        <v>792</v>
      </c>
      <c r="D155" s="24" t="s">
        <v>793</v>
      </c>
      <c r="E155" s="25">
        <v>2122</v>
      </c>
      <c r="F155" s="26" t="s">
        <v>794</v>
      </c>
      <c r="G155" s="16" t="s">
        <v>795</v>
      </c>
      <c r="H155" s="31">
        <v>16.5</v>
      </c>
      <c r="I155" s="31">
        <v>18.100000000000001</v>
      </c>
      <c r="J155" s="16" t="s">
        <v>40</v>
      </c>
    </row>
    <row r="156" spans="1:10">
      <c r="A156" s="19">
        <v>152</v>
      </c>
      <c r="B156" s="16" t="s">
        <v>785</v>
      </c>
      <c r="C156" s="16" t="s">
        <v>796</v>
      </c>
      <c r="D156" s="24" t="s">
        <v>797</v>
      </c>
      <c r="E156" s="25">
        <v>865</v>
      </c>
      <c r="F156" s="26" t="s">
        <v>644</v>
      </c>
      <c r="G156" s="16" t="s">
        <v>645</v>
      </c>
      <c r="H156" s="31">
        <v>34.6</v>
      </c>
      <c r="I156" s="31">
        <v>45.2</v>
      </c>
      <c r="J156" s="16" t="s">
        <v>40</v>
      </c>
    </row>
    <row r="157" spans="1:10">
      <c r="A157" s="19">
        <v>153</v>
      </c>
      <c r="B157" s="16" t="s">
        <v>785</v>
      </c>
      <c r="C157" s="16" t="s">
        <v>798</v>
      </c>
      <c r="D157" s="24" t="s">
        <v>799</v>
      </c>
      <c r="E157" s="25">
        <v>3289</v>
      </c>
      <c r="F157" s="26" t="s">
        <v>794</v>
      </c>
      <c r="G157" s="16" t="s">
        <v>795</v>
      </c>
      <c r="H157" s="31">
        <v>22.9</v>
      </c>
      <c r="I157" s="31">
        <v>28.4</v>
      </c>
      <c r="J157" s="16" t="s">
        <v>40</v>
      </c>
    </row>
    <row r="158" spans="1:10">
      <c r="A158" s="19">
        <v>154</v>
      </c>
      <c r="B158" s="16" t="s">
        <v>785</v>
      </c>
      <c r="C158" s="16" t="s">
        <v>800</v>
      </c>
      <c r="D158" s="24" t="s">
        <v>801</v>
      </c>
      <c r="E158" s="25">
        <v>814</v>
      </c>
      <c r="F158" s="26" t="s">
        <v>794</v>
      </c>
      <c r="G158" s="16" t="s">
        <v>795</v>
      </c>
      <c r="H158" s="31">
        <v>31</v>
      </c>
      <c r="I158" s="31">
        <v>34.299999999999997</v>
      </c>
      <c r="J158" s="16" t="s">
        <v>40</v>
      </c>
    </row>
    <row r="159" spans="1:10">
      <c r="A159" s="19">
        <v>155</v>
      </c>
      <c r="B159" s="16" t="s">
        <v>785</v>
      </c>
      <c r="C159" s="16" t="s">
        <v>802</v>
      </c>
      <c r="D159" s="24" t="s">
        <v>803</v>
      </c>
      <c r="E159" s="25">
        <v>1534</v>
      </c>
      <c r="F159" s="26" t="s">
        <v>794</v>
      </c>
      <c r="G159" s="16" t="s">
        <v>795</v>
      </c>
      <c r="H159" s="31">
        <v>28.8</v>
      </c>
      <c r="I159" s="31">
        <v>33.6</v>
      </c>
      <c r="J159" s="16" t="s">
        <v>40</v>
      </c>
    </row>
    <row r="160" spans="1:10">
      <c r="A160" s="19">
        <v>156</v>
      </c>
      <c r="B160" s="16" t="s">
        <v>785</v>
      </c>
      <c r="C160" s="16" t="s">
        <v>804</v>
      </c>
      <c r="D160" s="24" t="s">
        <v>805</v>
      </c>
      <c r="E160" s="25">
        <v>1786</v>
      </c>
      <c r="F160" s="26" t="s">
        <v>573</v>
      </c>
      <c r="G160" s="16" t="s">
        <v>574</v>
      </c>
      <c r="H160" s="31">
        <v>30.8</v>
      </c>
      <c r="I160" s="31">
        <v>40.299999999999997</v>
      </c>
      <c r="J160" s="16" t="s">
        <v>40</v>
      </c>
    </row>
    <row r="161" spans="1:10">
      <c r="A161" s="19">
        <v>157</v>
      </c>
      <c r="B161" s="16" t="s">
        <v>785</v>
      </c>
      <c r="C161" s="16" t="s">
        <v>806</v>
      </c>
      <c r="D161" s="24" t="s">
        <v>807</v>
      </c>
      <c r="E161" s="25">
        <v>1065</v>
      </c>
      <c r="F161" s="26" t="s">
        <v>794</v>
      </c>
      <c r="G161" s="16" t="s">
        <v>795</v>
      </c>
      <c r="H161" s="31">
        <v>33.200000000000003</v>
      </c>
      <c r="I161" s="31">
        <v>35.5</v>
      </c>
      <c r="J161" s="16" t="s">
        <v>40</v>
      </c>
    </row>
    <row r="162" spans="1:10">
      <c r="A162" s="19">
        <v>158</v>
      </c>
      <c r="B162" s="16" t="s">
        <v>785</v>
      </c>
      <c r="C162" s="16" t="s">
        <v>808</v>
      </c>
      <c r="D162" s="24" t="s">
        <v>809</v>
      </c>
      <c r="E162" s="25">
        <v>1375</v>
      </c>
      <c r="F162" s="26" t="s">
        <v>478</v>
      </c>
      <c r="G162" s="16" t="s">
        <v>479</v>
      </c>
      <c r="H162" s="31">
        <v>18</v>
      </c>
      <c r="I162" s="31">
        <v>21.4</v>
      </c>
      <c r="J162" s="16" t="s">
        <v>40</v>
      </c>
    </row>
    <row r="163" spans="1:10">
      <c r="A163" s="19">
        <v>159</v>
      </c>
      <c r="B163" s="16" t="s">
        <v>785</v>
      </c>
      <c r="C163" s="16" t="s">
        <v>810</v>
      </c>
      <c r="D163" s="24" t="s">
        <v>811</v>
      </c>
      <c r="E163" s="25">
        <v>1257</v>
      </c>
      <c r="F163" s="26" t="s">
        <v>478</v>
      </c>
      <c r="G163" s="16" t="s">
        <v>479</v>
      </c>
      <c r="H163" s="31">
        <v>10.5</v>
      </c>
      <c r="I163" s="31">
        <v>11.5</v>
      </c>
      <c r="J163" s="16" t="s">
        <v>40</v>
      </c>
    </row>
    <row r="164" spans="1:10">
      <c r="A164" s="19">
        <v>160</v>
      </c>
      <c r="B164" s="16" t="s">
        <v>785</v>
      </c>
      <c r="C164" s="16" t="s">
        <v>812</v>
      </c>
      <c r="D164" s="24" t="s">
        <v>813</v>
      </c>
      <c r="E164" s="25">
        <v>1843</v>
      </c>
      <c r="F164" s="26" t="s">
        <v>794</v>
      </c>
      <c r="G164" s="16" t="s">
        <v>795</v>
      </c>
      <c r="H164" s="31">
        <v>26.8</v>
      </c>
      <c r="I164" s="31">
        <v>28.8</v>
      </c>
      <c r="J164" s="16" t="s">
        <v>40</v>
      </c>
    </row>
    <row r="165" spans="1:10">
      <c r="A165" s="19">
        <v>161</v>
      </c>
      <c r="B165" s="16" t="s">
        <v>785</v>
      </c>
      <c r="C165" s="16" t="s">
        <v>814</v>
      </c>
      <c r="D165" s="24" t="s">
        <v>815</v>
      </c>
      <c r="E165" s="25">
        <v>1458</v>
      </c>
      <c r="F165" s="26" t="s">
        <v>573</v>
      </c>
      <c r="G165" s="16" t="s">
        <v>574</v>
      </c>
      <c r="H165" s="31">
        <v>32</v>
      </c>
      <c r="I165" s="31">
        <v>42.2</v>
      </c>
      <c r="J165" s="16" t="s">
        <v>40</v>
      </c>
    </row>
    <row r="166" spans="1:10">
      <c r="A166" s="19">
        <v>162</v>
      </c>
      <c r="B166" s="16" t="s">
        <v>785</v>
      </c>
      <c r="C166" s="16" t="s">
        <v>816</v>
      </c>
      <c r="D166" s="24" t="s">
        <v>817</v>
      </c>
      <c r="E166" s="25">
        <v>1792</v>
      </c>
      <c r="F166" s="26" t="s">
        <v>794</v>
      </c>
      <c r="G166" s="16" t="s">
        <v>795</v>
      </c>
      <c r="H166" s="31">
        <v>26.7</v>
      </c>
      <c r="I166" s="31">
        <v>32.200000000000003</v>
      </c>
      <c r="J166" s="16" t="s">
        <v>40</v>
      </c>
    </row>
    <row r="167" spans="1:10">
      <c r="A167" s="19">
        <v>163</v>
      </c>
      <c r="B167" s="16" t="s">
        <v>785</v>
      </c>
      <c r="C167" s="16" t="s">
        <v>818</v>
      </c>
      <c r="D167" s="24" t="s">
        <v>819</v>
      </c>
      <c r="E167" s="25">
        <v>1874</v>
      </c>
      <c r="F167" s="26" t="s">
        <v>794</v>
      </c>
      <c r="G167" s="16" t="s">
        <v>795</v>
      </c>
      <c r="H167" s="31">
        <v>18.8</v>
      </c>
      <c r="I167" s="31">
        <v>21.7</v>
      </c>
      <c r="J167" s="16" t="s">
        <v>40</v>
      </c>
    </row>
    <row r="168" spans="1:10">
      <c r="A168" s="19">
        <v>164</v>
      </c>
      <c r="B168" s="16" t="s">
        <v>785</v>
      </c>
      <c r="C168" s="16" t="s">
        <v>820</v>
      </c>
      <c r="D168" s="24" t="s">
        <v>821</v>
      </c>
      <c r="E168" s="25">
        <v>1156</v>
      </c>
      <c r="F168" s="26" t="s">
        <v>794</v>
      </c>
      <c r="G168" s="16" t="s">
        <v>795</v>
      </c>
      <c r="H168" s="31">
        <v>25.7</v>
      </c>
      <c r="I168" s="31">
        <v>30</v>
      </c>
      <c r="J168" s="16" t="s">
        <v>40</v>
      </c>
    </row>
    <row r="169" spans="1:10">
      <c r="A169" s="19">
        <v>165</v>
      </c>
      <c r="B169" s="16" t="s">
        <v>785</v>
      </c>
      <c r="C169" s="16" t="s">
        <v>822</v>
      </c>
      <c r="D169" s="24" t="s">
        <v>823</v>
      </c>
      <c r="E169" s="25">
        <v>514</v>
      </c>
      <c r="F169" s="26" t="s">
        <v>794</v>
      </c>
      <c r="G169" s="16" t="s">
        <v>795</v>
      </c>
      <c r="H169" s="31">
        <v>26.8</v>
      </c>
      <c r="I169" s="31">
        <v>28.9</v>
      </c>
      <c r="J169" s="16" t="s">
        <v>40</v>
      </c>
    </row>
    <row r="170" spans="1:10">
      <c r="A170" s="19">
        <v>166</v>
      </c>
      <c r="B170" s="16" t="s">
        <v>785</v>
      </c>
      <c r="C170" s="16" t="s">
        <v>824</v>
      </c>
      <c r="D170" s="24" t="s">
        <v>825</v>
      </c>
      <c r="E170" s="25">
        <v>3962</v>
      </c>
      <c r="F170" s="26" t="s">
        <v>573</v>
      </c>
      <c r="G170" s="16" t="s">
        <v>574</v>
      </c>
      <c r="H170" s="31">
        <v>40.200000000000003</v>
      </c>
      <c r="I170" s="31">
        <v>47.9</v>
      </c>
      <c r="J170" s="16" t="s">
        <v>40</v>
      </c>
    </row>
    <row r="171" spans="1:10">
      <c r="A171" s="19">
        <v>167</v>
      </c>
      <c r="B171" s="16" t="s">
        <v>785</v>
      </c>
      <c r="C171" s="16" t="s">
        <v>826</v>
      </c>
      <c r="D171" s="24" t="s">
        <v>827</v>
      </c>
      <c r="E171" s="25">
        <v>2098</v>
      </c>
      <c r="F171" s="26" t="s">
        <v>573</v>
      </c>
      <c r="G171" s="16" t="s">
        <v>574</v>
      </c>
      <c r="H171" s="31">
        <v>33.4</v>
      </c>
      <c r="I171" s="31">
        <v>40.4</v>
      </c>
      <c r="J171" s="16" t="s">
        <v>40</v>
      </c>
    </row>
    <row r="172" spans="1:10">
      <c r="A172" s="19">
        <v>168</v>
      </c>
      <c r="B172" s="16" t="s">
        <v>785</v>
      </c>
      <c r="C172" s="16" t="s">
        <v>828</v>
      </c>
      <c r="D172" s="24" t="s">
        <v>829</v>
      </c>
      <c r="E172" s="25">
        <v>3233</v>
      </c>
      <c r="F172" s="26" t="s">
        <v>794</v>
      </c>
      <c r="G172" s="16" t="s">
        <v>795</v>
      </c>
      <c r="H172" s="31">
        <v>18</v>
      </c>
      <c r="I172" s="31">
        <v>18.8</v>
      </c>
      <c r="J172" s="16" t="s">
        <v>40</v>
      </c>
    </row>
    <row r="173" spans="1:10">
      <c r="A173" s="19">
        <v>169</v>
      </c>
      <c r="B173" s="16" t="s">
        <v>785</v>
      </c>
      <c r="C173" s="16" t="s">
        <v>830</v>
      </c>
      <c r="D173" s="24" t="s">
        <v>831</v>
      </c>
      <c r="E173" s="25">
        <v>456</v>
      </c>
      <c r="F173" s="26" t="s">
        <v>794</v>
      </c>
      <c r="G173" s="16" t="s">
        <v>795</v>
      </c>
      <c r="H173" s="31">
        <v>32.5</v>
      </c>
      <c r="I173" s="31">
        <v>38.200000000000003</v>
      </c>
      <c r="J173" s="16" t="s">
        <v>40</v>
      </c>
    </row>
    <row r="174" spans="1:10">
      <c r="A174" s="19">
        <v>170</v>
      </c>
      <c r="B174" s="16" t="s">
        <v>785</v>
      </c>
      <c r="C174" s="16" t="s">
        <v>832</v>
      </c>
      <c r="D174" s="24" t="s">
        <v>833</v>
      </c>
      <c r="E174" s="25">
        <v>1134</v>
      </c>
      <c r="F174" s="26" t="s">
        <v>478</v>
      </c>
      <c r="G174" s="16" t="s">
        <v>479</v>
      </c>
      <c r="H174" s="31">
        <v>9</v>
      </c>
      <c r="I174" s="31">
        <v>9.4</v>
      </c>
      <c r="J174" s="16" t="s">
        <v>40</v>
      </c>
    </row>
    <row r="175" spans="1:10">
      <c r="A175" s="19">
        <v>171</v>
      </c>
      <c r="B175" s="16" t="s">
        <v>785</v>
      </c>
      <c r="C175" s="16" t="s">
        <v>834</v>
      </c>
      <c r="D175" s="24" t="s">
        <v>835</v>
      </c>
      <c r="E175" s="25">
        <v>2203</v>
      </c>
      <c r="F175" s="26" t="s">
        <v>478</v>
      </c>
      <c r="G175" s="16" t="s">
        <v>479</v>
      </c>
      <c r="H175" s="31">
        <v>12.2</v>
      </c>
      <c r="I175" s="31">
        <v>14.6</v>
      </c>
      <c r="J175" s="16" t="s">
        <v>40</v>
      </c>
    </row>
    <row r="176" spans="1:10">
      <c r="A176" s="19">
        <v>172</v>
      </c>
      <c r="B176" s="16" t="s">
        <v>785</v>
      </c>
      <c r="C176" s="16" t="s">
        <v>795</v>
      </c>
      <c r="D176" s="24" t="s">
        <v>836</v>
      </c>
      <c r="E176" s="25">
        <v>9954</v>
      </c>
      <c r="F176" s="26" t="s">
        <v>794</v>
      </c>
      <c r="G176" s="16" t="s">
        <v>795</v>
      </c>
      <c r="H176" s="31">
        <v>21.3</v>
      </c>
      <c r="I176" s="31">
        <v>24</v>
      </c>
      <c r="J176" s="16" t="s">
        <v>40</v>
      </c>
    </row>
    <row r="177" spans="1:10">
      <c r="A177" s="19">
        <v>173</v>
      </c>
      <c r="B177" s="16" t="s">
        <v>785</v>
      </c>
      <c r="C177" s="16" t="s">
        <v>837</v>
      </c>
      <c r="D177" s="24" t="s">
        <v>838</v>
      </c>
      <c r="E177" s="25">
        <v>3307</v>
      </c>
      <c r="F177" s="26" t="s">
        <v>794</v>
      </c>
      <c r="G177" s="16" t="s">
        <v>795</v>
      </c>
      <c r="H177" s="31">
        <v>23.4</v>
      </c>
      <c r="I177" s="31">
        <v>24.3</v>
      </c>
      <c r="J177" s="16" t="s">
        <v>40</v>
      </c>
    </row>
    <row r="178" spans="1:10">
      <c r="A178" s="19">
        <v>174</v>
      </c>
      <c r="B178" s="16" t="s">
        <v>839</v>
      </c>
      <c r="C178" s="16" t="s">
        <v>840</v>
      </c>
      <c r="D178" s="24" t="s">
        <v>841</v>
      </c>
      <c r="E178" s="25">
        <v>558</v>
      </c>
      <c r="F178" s="26" t="s">
        <v>573</v>
      </c>
      <c r="G178" s="16" t="s">
        <v>574</v>
      </c>
      <c r="H178" s="31">
        <v>38.299999999999997</v>
      </c>
      <c r="I178" s="31">
        <v>44.8</v>
      </c>
      <c r="J178" s="16" t="s">
        <v>40</v>
      </c>
    </row>
    <row r="179" spans="1:10">
      <c r="A179" s="19">
        <v>175</v>
      </c>
      <c r="B179" s="16" t="s">
        <v>839</v>
      </c>
      <c r="C179" s="16" t="s">
        <v>842</v>
      </c>
      <c r="D179" s="24" t="s">
        <v>843</v>
      </c>
      <c r="E179" s="25">
        <v>1637</v>
      </c>
      <c r="F179" s="26" t="s">
        <v>573</v>
      </c>
      <c r="G179" s="16" t="s">
        <v>574</v>
      </c>
      <c r="H179" s="31">
        <v>38</v>
      </c>
      <c r="I179" s="31">
        <v>50.1</v>
      </c>
      <c r="J179" s="16" t="s">
        <v>40</v>
      </c>
    </row>
    <row r="180" spans="1:10">
      <c r="A180" s="19">
        <v>176</v>
      </c>
      <c r="B180" s="16" t="s">
        <v>839</v>
      </c>
      <c r="C180" s="16" t="s">
        <v>844</v>
      </c>
      <c r="D180" s="24" t="s">
        <v>845</v>
      </c>
      <c r="E180" s="25">
        <v>2508</v>
      </c>
      <c r="F180" s="26" t="s">
        <v>573</v>
      </c>
      <c r="G180" s="16" t="s">
        <v>574</v>
      </c>
      <c r="H180" s="31">
        <v>39.5</v>
      </c>
      <c r="I180" s="31">
        <v>47.9</v>
      </c>
      <c r="J180" s="16" t="s">
        <v>40</v>
      </c>
    </row>
    <row r="181" spans="1:10">
      <c r="A181" s="19">
        <v>177</v>
      </c>
      <c r="B181" s="16" t="s">
        <v>839</v>
      </c>
      <c r="C181" s="16" t="s">
        <v>846</v>
      </c>
      <c r="D181" s="24" t="s">
        <v>847</v>
      </c>
      <c r="E181" s="25">
        <v>485</v>
      </c>
      <c r="F181" s="26" t="s">
        <v>794</v>
      </c>
      <c r="G181" s="16" t="s">
        <v>795</v>
      </c>
      <c r="H181" s="31">
        <v>30.4</v>
      </c>
      <c r="I181" s="31">
        <v>37.4</v>
      </c>
      <c r="J181" s="16" t="s">
        <v>40</v>
      </c>
    </row>
    <row r="182" spans="1:10">
      <c r="A182" s="19">
        <v>178</v>
      </c>
      <c r="B182" s="16" t="s">
        <v>839</v>
      </c>
      <c r="C182" s="16" t="s">
        <v>848</v>
      </c>
      <c r="D182" s="24" t="s">
        <v>849</v>
      </c>
      <c r="E182" s="25">
        <v>842</v>
      </c>
      <c r="F182" s="26" t="s">
        <v>573</v>
      </c>
      <c r="G182" s="16" t="s">
        <v>574</v>
      </c>
      <c r="H182" s="31">
        <v>44.4</v>
      </c>
      <c r="I182" s="31">
        <v>52.7</v>
      </c>
      <c r="J182" s="16" t="s">
        <v>40</v>
      </c>
    </row>
    <row r="183" spans="1:10">
      <c r="A183" s="19">
        <v>179</v>
      </c>
      <c r="B183" s="16" t="s">
        <v>850</v>
      </c>
      <c r="C183" s="16" t="s">
        <v>851</v>
      </c>
      <c r="D183" s="24" t="s">
        <v>852</v>
      </c>
      <c r="E183" s="25">
        <v>1218</v>
      </c>
      <c r="F183" s="26" t="s">
        <v>498</v>
      </c>
      <c r="G183" s="16" t="s">
        <v>499</v>
      </c>
      <c r="H183" s="31">
        <v>30</v>
      </c>
      <c r="I183" s="31">
        <v>30.2</v>
      </c>
      <c r="J183" s="16" t="s">
        <v>40</v>
      </c>
    </row>
    <row r="184" spans="1:10">
      <c r="A184" s="19">
        <v>180</v>
      </c>
      <c r="B184" s="16" t="s">
        <v>850</v>
      </c>
      <c r="C184" s="16" t="s">
        <v>853</v>
      </c>
      <c r="D184" s="24" t="s">
        <v>854</v>
      </c>
      <c r="E184" s="25">
        <v>1024</v>
      </c>
      <c r="F184" s="26" t="s">
        <v>498</v>
      </c>
      <c r="G184" s="16" t="s">
        <v>499</v>
      </c>
      <c r="H184" s="31">
        <v>41.7</v>
      </c>
      <c r="I184" s="31">
        <v>47.5</v>
      </c>
      <c r="J184" s="16" t="s">
        <v>40</v>
      </c>
    </row>
    <row r="185" spans="1:10">
      <c r="A185" s="19">
        <v>181</v>
      </c>
      <c r="B185" s="16" t="s">
        <v>850</v>
      </c>
      <c r="C185" s="16" t="s">
        <v>855</v>
      </c>
      <c r="D185" s="24" t="s">
        <v>856</v>
      </c>
      <c r="E185" s="25">
        <v>572</v>
      </c>
      <c r="F185" s="26" t="s">
        <v>498</v>
      </c>
      <c r="G185" s="16" t="s">
        <v>499</v>
      </c>
      <c r="H185" s="31">
        <v>47.6</v>
      </c>
      <c r="I185" s="31">
        <v>54.9</v>
      </c>
      <c r="J185" s="16" t="s">
        <v>40</v>
      </c>
    </row>
    <row r="186" spans="1:10">
      <c r="A186" s="19">
        <v>182</v>
      </c>
      <c r="B186" s="16" t="s">
        <v>850</v>
      </c>
      <c r="C186" s="16" t="s">
        <v>857</v>
      </c>
      <c r="D186" s="24" t="s">
        <v>858</v>
      </c>
      <c r="E186" s="25">
        <v>835</v>
      </c>
      <c r="F186" s="26" t="s">
        <v>736</v>
      </c>
      <c r="G186" s="16" t="s">
        <v>737</v>
      </c>
      <c r="H186" s="31">
        <v>45.3</v>
      </c>
      <c r="I186" s="31">
        <v>56.4</v>
      </c>
      <c r="J186" s="16" t="s">
        <v>40</v>
      </c>
    </row>
    <row r="187" spans="1:10">
      <c r="A187" s="19">
        <v>183</v>
      </c>
      <c r="B187" s="16" t="s">
        <v>850</v>
      </c>
      <c r="C187" s="16" t="s">
        <v>859</v>
      </c>
      <c r="D187" s="24" t="s">
        <v>860</v>
      </c>
      <c r="E187" s="25">
        <v>555</v>
      </c>
      <c r="F187" s="26" t="s">
        <v>498</v>
      </c>
      <c r="G187" s="16" t="s">
        <v>499</v>
      </c>
      <c r="H187" s="31">
        <v>60.1</v>
      </c>
      <c r="I187" s="31">
        <v>69.099999999999994</v>
      </c>
      <c r="J187" s="16" t="s">
        <v>40</v>
      </c>
    </row>
    <row r="188" spans="1:10">
      <c r="A188" s="19">
        <v>184</v>
      </c>
      <c r="B188" s="16" t="s">
        <v>850</v>
      </c>
      <c r="C188" s="16" t="s">
        <v>861</v>
      </c>
      <c r="D188" s="24" t="s">
        <v>862</v>
      </c>
      <c r="E188" s="25">
        <v>891</v>
      </c>
      <c r="F188" s="26" t="s">
        <v>736</v>
      </c>
      <c r="G188" s="16" t="s">
        <v>737</v>
      </c>
      <c r="H188" s="31">
        <v>53.9</v>
      </c>
      <c r="I188" s="31">
        <v>40.4</v>
      </c>
      <c r="J188" s="16" t="s">
        <v>293</v>
      </c>
    </row>
    <row r="189" spans="1:10">
      <c r="A189" s="19">
        <v>185</v>
      </c>
      <c r="B189" s="16" t="s">
        <v>850</v>
      </c>
      <c r="C189" s="16" t="s">
        <v>863</v>
      </c>
      <c r="D189" s="24" t="s">
        <v>864</v>
      </c>
      <c r="E189" s="25">
        <v>776</v>
      </c>
      <c r="F189" s="26" t="s">
        <v>498</v>
      </c>
      <c r="G189" s="16" t="s">
        <v>499</v>
      </c>
      <c r="H189" s="31">
        <v>17.8</v>
      </c>
      <c r="I189" s="31">
        <v>16.3</v>
      </c>
      <c r="J189" s="16" t="s">
        <v>40</v>
      </c>
    </row>
    <row r="190" spans="1:10">
      <c r="A190" s="19">
        <v>186</v>
      </c>
      <c r="B190" s="16" t="s">
        <v>850</v>
      </c>
      <c r="C190" s="16" t="s">
        <v>865</v>
      </c>
      <c r="D190" s="24" t="s">
        <v>866</v>
      </c>
      <c r="E190" s="25">
        <v>766</v>
      </c>
      <c r="F190" s="26" t="s">
        <v>498</v>
      </c>
      <c r="G190" s="16" t="s">
        <v>499</v>
      </c>
      <c r="H190" s="31">
        <v>42.7</v>
      </c>
      <c r="I190" s="31">
        <v>51.2</v>
      </c>
      <c r="J190" s="16" t="s">
        <v>40</v>
      </c>
    </row>
    <row r="191" spans="1:10">
      <c r="A191" s="19">
        <v>187</v>
      </c>
      <c r="B191" s="16" t="s">
        <v>850</v>
      </c>
      <c r="C191" s="16" t="s">
        <v>867</v>
      </c>
      <c r="D191" s="24" t="s">
        <v>868</v>
      </c>
      <c r="E191" s="25">
        <v>759</v>
      </c>
      <c r="F191" s="26" t="s">
        <v>498</v>
      </c>
      <c r="G191" s="16" t="s">
        <v>499</v>
      </c>
      <c r="H191" s="31">
        <v>55.5</v>
      </c>
      <c r="I191" s="31">
        <v>62.1</v>
      </c>
      <c r="J191" s="16" t="s">
        <v>40</v>
      </c>
    </row>
    <row r="192" spans="1:10">
      <c r="A192" s="19">
        <v>188</v>
      </c>
      <c r="B192" s="16" t="s">
        <v>850</v>
      </c>
      <c r="C192" s="16" t="s">
        <v>869</v>
      </c>
      <c r="D192" s="24" t="s">
        <v>870</v>
      </c>
      <c r="E192" s="25">
        <v>1289</v>
      </c>
      <c r="F192" s="26" t="s">
        <v>498</v>
      </c>
      <c r="G192" s="16" t="s">
        <v>499</v>
      </c>
      <c r="H192" s="31">
        <v>30</v>
      </c>
      <c r="I192" s="31">
        <v>32.5</v>
      </c>
      <c r="J192" s="16" t="s">
        <v>40</v>
      </c>
    </row>
    <row r="193" spans="1:10">
      <c r="A193" s="19">
        <v>189</v>
      </c>
      <c r="B193" s="16" t="s">
        <v>850</v>
      </c>
      <c r="C193" s="16" t="s">
        <v>871</v>
      </c>
      <c r="D193" s="24" t="s">
        <v>872</v>
      </c>
      <c r="E193" s="25">
        <v>2110</v>
      </c>
      <c r="F193" s="26" t="s">
        <v>498</v>
      </c>
      <c r="G193" s="16" t="s">
        <v>499</v>
      </c>
      <c r="H193" s="31">
        <v>22.6</v>
      </c>
      <c r="I193" s="31">
        <v>23.5</v>
      </c>
      <c r="J193" s="16" t="s">
        <v>40</v>
      </c>
    </row>
    <row r="194" spans="1:10">
      <c r="A194" s="19">
        <v>190</v>
      </c>
      <c r="B194" s="16" t="s">
        <v>850</v>
      </c>
      <c r="C194" s="16" t="s">
        <v>873</v>
      </c>
      <c r="D194" s="24" t="s">
        <v>874</v>
      </c>
      <c r="E194" s="25">
        <v>285</v>
      </c>
      <c r="F194" s="26" t="s">
        <v>498</v>
      </c>
      <c r="G194" s="16" t="s">
        <v>499</v>
      </c>
      <c r="H194" s="31">
        <v>28.7</v>
      </c>
      <c r="I194" s="31">
        <v>30.5</v>
      </c>
      <c r="J194" s="16" t="s">
        <v>40</v>
      </c>
    </row>
    <row r="195" spans="1:10">
      <c r="A195" s="19">
        <v>191</v>
      </c>
      <c r="B195" s="16" t="s">
        <v>850</v>
      </c>
      <c r="C195" s="16" t="s">
        <v>875</v>
      </c>
      <c r="D195" s="24" t="s">
        <v>876</v>
      </c>
      <c r="E195" s="25">
        <v>2075</v>
      </c>
      <c r="F195" s="26" t="s">
        <v>498</v>
      </c>
      <c r="G195" s="16" t="s">
        <v>499</v>
      </c>
      <c r="H195" s="31">
        <v>40.700000000000003</v>
      </c>
      <c r="I195" s="31">
        <v>46.6</v>
      </c>
      <c r="J195" s="16" t="s">
        <v>40</v>
      </c>
    </row>
    <row r="196" spans="1:10">
      <c r="A196" s="19">
        <v>192</v>
      </c>
      <c r="B196" s="16" t="s">
        <v>850</v>
      </c>
      <c r="C196" s="16" t="s">
        <v>877</v>
      </c>
      <c r="D196" s="24" t="s">
        <v>878</v>
      </c>
      <c r="E196" s="25">
        <v>4646</v>
      </c>
      <c r="F196" s="26" t="s">
        <v>478</v>
      </c>
      <c r="G196" s="16" t="s">
        <v>479</v>
      </c>
      <c r="H196" s="31">
        <v>10.8</v>
      </c>
      <c r="I196" s="31">
        <v>9.1</v>
      </c>
      <c r="J196" s="16" t="s">
        <v>40</v>
      </c>
    </row>
    <row r="197" spans="1:10">
      <c r="A197" s="19">
        <v>193</v>
      </c>
      <c r="B197" s="16" t="s">
        <v>850</v>
      </c>
      <c r="C197" s="16" t="s">
        <v>879</v>
      </c>
      <c r="D197" s="24" t="s">
        <v>880</v>
      </c>
      <c r="E197" s="25">
        <v>1150</v>
      </c>
      <c r="F197" s="26" t="s">
        <v>498</v>
      </c>
      <c r="G197" s="16" t="s">
        <v>499</v>
      </c>
      <c r="H197" s="31">
        <v>46.1</v>
      </c>
      <c r="I197" s="31">
        <v>54.6</v>
      </c>
      <c r="J197" s="16" t="s">
        <v>40</v>
      </c>
    </row>
    <row r="198" spans="1:10">
      <c r="A198" s="19">
        <v>194</v>
      </c>
      <c r="B198" s="16" t="s">
        <v>850</v>
      </c>
      <c r="C198" s="16" t="s">
        <v>145</v>
      </c>
      <c r="D198" s="24" t="s">
        <v>881</v>
      </c>
      <c r="E198" s="25">
        <v>436</v>
      </c>
      <c r="F198" s="26" t="s">
        <v>498</v>
      </c>
      <c r="G198" s="16" t="s">
        <v>499</v>
      </c>
      <c r="H198" s="31">
        <v>59.2</v>
      </c>
      <c r="I198" s="31">
        <v>66.900000000000006</v>
      </c>
      <c r="J198" s="16" t="s">
        <v>40</v>
      </c>
    </row>
    <row r="199" spans="1:10">
      <c r="A199" s="19">
        <v>195</v>
      </c>
      <c r="B199" s="16" t="s">
        <v>850</v>
      </c>
      <c r="C199" s="16" t="s">
        <v>882</v>
      </c>
      <c r="D199" s="24" t="s">
        <v>883</v>
      </c>
      <c r="E199" s="25">
        <v>2820</v>
      </c>
      <c r="F199" s="26" t="s">
        <v>498</v>
      </c>
      <c r="G199" s="16" t="s">
        <v>499</v>
      </c>
      <c r="H199" s="31">
        <v>35.799999999999997</v>
      </c>
      <c r="I199" s="31">
        <v>41.9</v>
      </c>
      <c r="J199" s="16" t="s">
        <v>40</v>
      </c>
    </row>
    <row r="200" spans="1:10">
      <c r="A200" s="19">
        <v>196</v>
      </c>
      <c r="B200" s="16" t="s">
        <v>850</v>
      </c>
      <c r="C200" s="16" t="s">
        <v>884</v>
      </c>
      <c r="D200" s="24" t="s">
        <v>885</v>
      </c>
      <c r="E200" s="25">
        <v>2106</v>
      </c>
      <c r="F200" s="26" t="s">
        <v>498</v>
      </c>
      <c r="G200" s="16" t="s">
        <v>499</v>
      </c>
      <c r="H200" s="31">
        <v>35.5</v>
      </c>
      <c r="I200" s="31">
        <v>39.5</v>
      </c>
      <c r="J200" s="16" t="s">
        <v>40</v>
      </c>
    </row>
    <row r="201" spans="1:10">
      <c r="A201" s="19">
        <v>197</v>
      </c>
      <c r="B201" s="16" t="s">
        <v>850</v>
      </c>
      <c r="C201" s="16" t="s">
        <v>886</v>
      </c>
      <c r="D201" s="24" t="s">
        <v>887</v>
      </c>
      <c r="E201" s="25">
        <v>2544</v>
      </c>
      <c r="F201" s="26" t="s">
        <v>736</v>
      </c>
      <c r="G201" s="16" t="s">
        <v>737</v>
      </c>
      <c r="H201" s="31">
        <v>52.4</v>
      </c>
      <c r="I201" s="31">
        <v>61.2</v>
      </c>
      <c r="J201" s="16" t="s">
        <v>40</v>
      </c>
    </row>
    <row r="202" spans="1:10">
      <c r="A202" s="19">
        <v>198</v>
      </c>
      <c r="B202" s="16" t="s">
        <v>850</v>
      </c>
      <c r="C202" s="16" t="s">
        <v>499</v>
      </c>
      <c r="D202" s="24" t="s">
        <v>888</v>
      </c>
      <c r="E202" s="25">
        <v>8622</v>
      </c>
      <c r="F202" s="26" t="s">
        <v>498</v>
      </c>
      <c r="G202" s="16" t="s">
        <v>499</v>
      </c>
      <c r="H202" s="31">
        <v>33.299999999999997</v>
      </c>
      <c r="I202" s="31">
        <v>39</v>
      </c>
      <c r="J202" s="16" t="s">
        <v>40</v>
      </c>
    </row>
    <row r="203" spans="1:10">
      <c r="A203" s="19">
        <v>199</v>
      </c>
      <c r="B203" s="16" t="s">
        <v>850</v>
      </c>
      <c r="C203" s="16" t="s">
        <v>889</v>
      </c>
      <c r="D203" s="24" t="s">
        <v>890</v>
      </c>
      <c r="E203" s="25">
        <v>641</v>
      </c>
      <c r="F203" s="26" t="s">
        <v>736</v>
      </c>
      <c r="G203" s="16" t="s">
        <v>737</v>
      </c>
      <c r="H203" s="31">
        <v>45.2</v>
      </c>
      <c r="I203" s="31">
        <v>54.1</v>
      </c>
      <c r="J203" s="16" t="s">
        <v>40</v>
      </c>
    </row>
    <row r="204" spans="1:10">
      <c r="A204" s="19">
        <v>200</v>
      </c>
      <c r="B204" s="16" t="s">
        <v>850</v>
      </c>
      <c r="C204" s="16" t="s">
        <v>891</v>
      </c>
      <c r="D204" s="24" t="s">
        <v>892</v>
      </c>
      <c r="E204" s="25">
        <v>986</v>
      </c>
      <c r="F204" s="26" t="s">
        <v>498</v>
      </c>
      <c r="G204" s="16" t="s">
        <v>499</v>
      </c>
      <c r="H204" s="31">
        <v>43.6</v>
      </c>
      <c r="I204" s="31">
        <v>51.4</v>
      </c>
      <c r="J204" s="16" t="s">
        <v>40</v>
      </c>
    </row>
    <row r="205" spans="1:10">
      <c r="A205" s="19">
        <v>201</v>
      </c>
      <c r="B205" s="16" t="s">
        <v>850</v>
      </c>
      <c r="C205" s="16" t="s">
        <v>893</v>
      </c>
      <c r="D205" s="24" t="s">
        <v>894</v>
      </c>
      <c r="E205" s="25">
        <v>425</v>
      </c>
      <c r="F205" s="26" t="s">
        <v>498</v>
      </c>
      <c r="G205" s="16" t="s">
        <v>499</v>
      </c>
      <c r="H205" s="31">
        <v>57.1</v>
      </c>
      <c r="I205" s="31">
        <v>64</v>
      </c>
      <c r="J205" s="16" t="s">
        <v>40</v>
      </c>
    </row>
    <row r="206" spans="1:10">
      <c r="A206" s="19">
        <v>202</v>
      </c>
      <c r="B206" s="16" t="s">
        <v>850</v>
      </c>
      <c r="C206" s="16" t="s">
        <v>895</v>
      </c>
      <c r="D206" s="24" t="s">
        <v>896</v>
      </c>
      <c r="E206" s="25">
        <v>1436</v>
      </c>
      <c r="F206" s="26" t="s">
        <v>478</v>
      </c>
      <c r="G206" s="16" t="s">
        <v>479</v>
      </c>
      <c r="H206" s="31">
        <v>15.2</v>
      </c>
      <c r="I206" s="31">
        <v>12.8</v>
      </c>
      <c r="J206" s="16" t="s">
        <v>40</v>
      </c>
    </row>
    <row r="207" spans="1:10">
      <c r="A207" s="19">
        <v>203</v>
      </c>
      <c r="B207" s="16" t="s">
        <v>850</v>
      </c>
      <c r="C207" s="16" t="s">
        <v>897</v>
      </c>
      <c r="D207" s="24" t="s">
        <v>898</v>
      </c>
      <c r="E207" s="25">
        <v>651</v>
      </c>
      <c r="F207" s="26" t="s">
        <v>498</v>
      </c>
      <c r="G207" s="16" t="s">
        <v>499</v>
      </c>
      <c r="H207" s="31">
        <v>42.4</v>
      </c>
      <c r="I207" s="31">
        <v>49.4</v>
      </c>
      <c r="J207" s="16" t="s">
        <v>40</v>
      </c>
    </row>
    <row r="208" spans="1:10">
      <c r="A208" s="19">
        <v>204</v>
      </c>
      <c r="B208" s="16" t="s">
        <v>850</v>
      </c>
      <c r="C208" s="16" t="s">
        <v>899</v>
      </c>
      <c r="D208" s="24" t="s">
        <v>900</v>
      </c>
      <c r="E208" s="25">
        <v>862</v>
      </c>
      <c r="F208" s="26" t="s">
        <v>498</v>
      </c>
      <c r="G208" s="16" t="s">
        <v>499</v>
      </c>
      <c r="H208" s="31">
        <v>50.1</v>
      </c>
      <c r="I208" s="31">
        <v>60.6</v>
      </c>
      <c r="J208" s="16" t="s">
        <v>40</v>
      </c>
    </row>
    <row r="209" spans="1:10">
      <c r="A209" s="19">
        <v>205</v>
      </c>
      <c r="B209" s="16" t="s">
        <v>850</v>
      </c>
      <c r="C209" s="16" t="s">
        <v>372</v>
      </c>
      <c r="D209" s="24" t="s">
        <v>901</v>
      </c>
      <c r="E209" s="25">
        <v>1278</v>
      </c>
      <c r="F209" s="26" t="s">
        <v>498</v>
      </c>
      <c r="G209" s="16" t="s">
        <v>499</v>
      </c>
      <c r="H209" s="31">
        <v>56.3</v>
      </c>
      <c r="I209" s="31">
        <v>64.900000000000006</v>
      </c>
      <c r="J209" s="16" t="s">
        <v>40</v>
      </c>
    </row>
    <row r="210" spans="1:10">
      <c r="A210" s="20">
        <v>206</v>
      </c>
      <c r="B210" s="17" t="s">
        <v>850</v>
      </c>
      <c r="C210" s="17" t="s">
        <v>902</v>
      </c>
      <c r="D210" s="27" t="s">
        <v>903</v>
      </c>
      <c r="E210" s="28">
        <v>1894</v>
      </c>
      <c r="F210" s="29" t="s">
        <v>498</v>
      </c>
      <c r="G210" s="17" t="s">
        <v>499</v>
      </c>
      <c r="H210" s="32">
        <v>48.7</v>
      </c>
      <c r="I210" s="32">
        <v>56.9</v>
      </c>
      <c r="J210" s="17" t="s">
        <v>40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showGridLines="0" workbookViewId="0"/>
  </sheetViews>
  <sheetFormatPr baseColWidth="10" defaultColWidth="8.83203125" defaultRowHeight="14"/>
  <cols>
    <col min="1" max="1" width="7" customWidth="1"/>
    <col min="2" max="2" width="23" customWidth="1"/>
    <col min="3" max="3" width="25" customWidth="1"/>
    <col min="4" max="4" width="13" customWidth="1"/>
    <col min="5" max="5" width="16" customWidth="1"/>
    <col min="6" max="6" width="15" customWidth="1"/>
    <col min="7" max="7" width="22" customWidth="1"/>
    <col min="8" max="9" width="21" customWidth="1"/>
    <col min="10" max="10" width="22" customWidth="1"/>
  </cols>
  <sheetData>
    <row r="1" spans="1:10" ht="30" customHeight="1">
      <c r="A1" s="39" t="s">
        <v>904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2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2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5</v>
      </c>
      <c r="F4" s="14" t="s">
        <v>30</v>
      </c>
      <c r="G4" s="14" t="s">
        <v>31</v>
      </c>
      <c r="H4" s="14" t="s">
        <v>32</v>
      </c>
      <c r="I4" s="14" t="s">
        <v>33</v>
      </c>
      <c r="J4" s="14" t="s">
        <v>34</v>
      </c>
    </row>
    <row r="5" spans="1:10">
      <c r="A5" s="18">
        <v>1</v>
      </c>
      <c r="B5" s="15" t="s">
        <v>136</v>
      </c>
      <c r="C5" s="15" t="s">
        <v>905</v>
      </c>
      <c r="D5" s="21" t="s">
        <v>906</v>
      </c>
      <c r="E5" s="22">
        <v>1121</v>
      </c>
      <c r="F5" s="23" t="s">
        <v>139</v>
      </c>
      <c r="G5" s="15" t="s">
        <v>140</v>
      </c>
      <c r="H5" s="30">
        <v>30.1</v>
      </c>
      <c r="I5" s="30">
        <v>38.4</v>
      </c>
      <c r="J5" s="15" t="s">
        <v>40</v>
      </c>
    </row>
    <row r="6" spans="1:10">
      <c r="A6" s="19">
        <v>2</v>
      </c>
      <c r="B6" s="16" t="s">
        <v>136</v>
      </c>
      <c r="C6" s="16" t="s">
        <v>907</v>
      </c>
      <c r="D6" s="24" t="s">
        <v>908</v>
      </c>
      <c r="E6" s="25">
        <v>4491</v>
      </c>
      <c r="F6" s="26" t="s">
        <v>139</v>
      </c>
      <c r="G6" s="16" t="s">
        <v>140</v>
      </c>
      <c r="H6" s="31">
        <v>34.9</v>
      </c>
      <c r="I6" s="31">
        <v>44.9</v>
      </c>
      <c r="J6" s="16" t="s">
        <v>40</v>
      </c>
    </row>
    <row r="7" spans="1:10">
      <c r="A7" s="19">
        <v>3</v>
      </c>
      <c r="B7" s="16" t="s">
        <v>641</v>
      </c>
      <c r="C7" s="16" t="s">
        <v>909</v>
      </c>
      <c r="D7" s="24" t="s">
        <v>910</v>
      </c>
      <c r="E7" s="25">
        <v>1615</v>
      </c>
      <c r="F7" s="26" t="s">
        <v>644</v>
      </c>
      <c r="G7" s="16" t="s">
        <v>645</v>
      </c>
      <c r="H7" s="31">
        <v>35.299999999999997</v>
      </c>
      <c r="I7" s="31">
        <v>42.2</v>
      </c>
      <c r="J7" s="16" t="s">
        <v>40</v>
      </c>
    </row>
    <row r="8" spans="1:10">
      <c r="A8" s="19">
        <v>4</v>
      </c>
      <c r="B8" s="16" t="s">
        <v>641</v>
      </c>
      <c r="C8" s="16" t="s">
        <v>911</v>
      </c>
      <c r="D8" s="24" t="s">
        <v>912</v>
      </c>
      <c r="E8" s="25">
        <v>642</v>
      </c>
      <c r="F8" s="26" t="s">
        <v>644</v>
      </c>
      <c r="G8" s="16" t="s">
        <v>645</v>
      </c>
      <c r="H8" s="31">
        <v>30.8</v>
      </c>
      <c r="I8" s="31">
        <v>37.9</v>
      </c>
      <c r="J8" s="16" t="s">
        <v>40</v>
      </c>
    </row>
    <row r="9" spans="1:10">
      <c r="A9" s="19">
        <v>5</v>
      </c>
      <c r="B9" s="16" t="s">
        <v>641</v>
      </c>
      <c r="C9" s="16" t="s">
        <v>913</v>
      </c>
      <c r="D9" s="24" t="s">
        <v>914</v>
      </c>
      <c r="E9" s="25">
        <v>1069</v>
      </c>
      <c r="F9" s="26" t="s">
        <v>915</v>
      </c>
      <c r="G9" s="16" t="s">
        <v>916</v>
      </c>
      <c r="H9" s="31">
        <v>27.5</v>
      </c>
      <c r="I9" s="31">
        <v>32</v>
      </c>
      <c r="J9" s="16" t="s">
        <v>40</v>
      </c>
    </row>
    <row r="10" spans="1:10">
      <c r="A10" s="19">
        <v>6</v>
      </c>
      <c r="B10" s="16" t="s">
        <v>641</v>
      </c>
      <c r="C10" s="16" t="s">
        <v>917</v>
      </c>
      <c r="D10" s="24" t="s">
        <v>918</v>
      </c>
      <c r="E10" s="25">
        <v>1262</v>
      </c>
      <c r="F10" s="26" t="s">
        <v>644</v>
      </c>
      <c r="G10" s="16" t="s">
        <v>645</v>
      </c>
      <c r="H10" s="31">
        <v>33.5</v>
      </c>
      <c r="I10" s="31">
        <v>39.200000000000003</v>
      </c>
      <c r="J10" s="16" t="s">
        <v>40</v>
      </c>
    </row>
    <row r="11" spans="1:10">
      <c r="A11" s="19">
        <v>7</v>
      </c>
      <c r="B11" s="16" t="s">
        <v>270</v>
      </c>
      <c r="C11" s="16" t="s">
        <v>919</v>
      </c>
      <c r="D11" s="24" t="s">
        <v>920</v>
      </c>
      <c r="E11" s="25">
        <v>1048</v>
      </c>
      <c r="F11" s="26" t="s">
        <v>921</v>
      </c>
      <c r="G11" s="16" t="s">
        <v>922</v>
      </c>
      <c r="H11" s="31">
        <v>66.5</v>
      </c>
      <c r="I11" s="31">
        <v>72.599999999999994</v>
      </c>
      <c r="J11" s="16" t="s">
        <v>40</v>
      </c>
    </row>
    <row r="12" spans="1:10">
      <c r="A12" s="19">
        <v>8</v>
      </c>
      <c r="B12" s="16" t="s">
        <v>270</v>
      </c>
      <c r="C12" s="16" t="s">
        <v>923</v>
      </c>
      <c r="D12" s="24" t="s">
        <v>924</v>
      </c>
      <c r="E12" s="25">
        <v>705</v>
      </c>
      <c r="F12" s="26" t="s">
        <v>277</v>
      </c>
      <c r="G12" s="16" t="s">
        <v>278</v>
      </c>
      <c r="H12" s="31">
        <v>53</v>
      </c>
      <c r="I12" s="31">
        <v>55.1</v>
      </c>
      <c r="J12" s="16" t="s">
        <v>40</v>
      </c>
    </row>
    <row r="13" spans="1:10">
      <c r="A13" s="19">
        <v>9</v>
      </c>
      <c r="B13" s="16" t="s">
        <v>270</v>
      </c>
      <c r="C13" s="16" t="s">
        <v>925</v>
      </c>
      <c r="D13" s="24" t="s">
        <v>926</v>
      </c>
      <c r="E13" s="25">
        <v>1196</v>
      </c>
      <c r="F13" s="26" t="s">
        <v>277</v>
      </c>
      <c r="G13" s="16" t="s">
        <v>278</v>
      </c>
      <c r="H13" s="31">
        <v>57.1</v>
      </c>
      <c r="I13" s="31">
        <v>60.2</v>
      </c>
      <c r="J13" s="16" t="s">
        <v>40</v>
      </c>
    </row>
    <row r="14" spans="1:10">
      <c r="A14" s="19">
        <v>10</v>
      </c>
      <c r="B14" s="16" t="s">
        <v>270</v>
      </c>
      <c r="C14" s="16" t="s">
        <v>927</v>
      </c>
      <c r="D14" s="24" t="s">
        <v>928</v>
      </c>
      <c r="E14" s="25">
        <v>645</v>
      </c>
      <c r="F14" s="26" t="s">
        <v>277</v>
      </c>
      <c r="G14" s="16" t="s">
        <v>278</v>
      </c>
      <c r="H14" s="31">
        <v>59.1</v>
      </c>
      <c r="I14" s="31">
        <v>61</v>
      </c>
      <c r="J14" s="16" t="s">
        <v>40</v>
      </c>
    </row>
    <row r="15" spans="1:10">
      <c r="A15" s="19">
        <v>11</v>
      </c>
      <c r="B15" s="16" t="s">
        <v>270</v>
      </c>
      <c r="C15" s="16" t="s">
        <v>929</v>
      </c>
      <c r="D15" s="24" t="s">
        <v>930</v>
      </c>
      <c r="E15" s="25">
        <v>1209</v>
      </c>
      <c r="F15" s="26" t="s">
        <v>921</v>
      </c>
      <c r="G15" s="16" t="s">
        <v>922</v>
      </c>
      <c r="H15" s="31">
        <v>62.4</v>
      </c>
      <c r="I15" s="31">
        <v>66.8</v>
      </c>
      <c r="J15" s="16" t="s">
        <v>40</v>
      </c>
    </row>
    <row r="16" spans="1:10">
      <c r="A16" s="19">
        <v>12</v>
      </c>
      <c r="B16" s="16" t="s">
        <v>270</v>
      </c>
      <c r="C16" s="16" t="s">
        <v>931</v>
      </c>
      <c r="D16" s="24" t="s">
        <v>932</v>
      </c>
      <c r="E16" s="25">
        <v>860</v>
      </c>
      <c r="F16" s="26" t="s">
        <v>921</v>
      </c>
      <c r="G16" s="16" t="s">
        <v>922</v>
      </c>
      <c r="H16" s="31">
        <v>70.2</v>
      </c>
      <c r="I16" s="31">
        <v>75.900000000000006</v>
      </c>
      <c r="J16" s="16" t="s">
        <v>40</v>
      </c>
    </row>
    <row r="17" spans="1:10">
      <c r="A17" s="19">
        <v>13</v>
      </c>
      <c r="B17" s="16" t="s">
        <v>270</v>
      </c>
      <c r="C17" s="16" t="s">
        <v>933</v>
      </c>
      <c r="D17" s="24" t="s">
        <v>934</v>
      </c>
      <c r="E17" s="25">
        <v>927</v>
      </c>
      <c r="F17" s="26" t="s">
        <v>277</v>
      </c>
      <c r="G17" s="16" t="s">
        <v>278</v>
      </c>
      <c r="H17" s="31">
        <v>51.1</v>
      </c>
      <c r="I17" s="31">
        <v>52.4</v>
      </c>
      <c r="J17" s="16" t="s">
        <v>40</v>
      </c>
    </row>
    <row r="18" spans="1:10">
      <c r="A18" s="19">
        <v>14</v>
      </c>
      <c r="B18" s="16" t="s">
        <v>270</v>
      </c>
      <c r="C18" s="16" t="s">
        <v>935</v>
      </c>
      <c r="D18" s="24" t="s">
        <v>936</v>
      </c>
      <c r="E18" s="25">
        <v>747</v>
      </c>
      <c r="F18" s="26" t="s">
        <v>277</v>
      </c>
      <c r="G18" s="16" t="s">
        <v>278</v>
      </c>
      <c r="H18" s="31">
        <v>54.5</v>
      </c>
      <c r="I18" s="31">
        <v>57.3</v>
      </c>
      <c r="J18" s="16" t="s">
        <v>40</v>
      </c>
    </row>
    <row r="19" spans="1:10">
      <c r="A19" s="19">
        <v>15</v>
      </c>
      <c r="B19" s="16" t="s">
        <v>379</v>
      </c>
      <c r="C19" s="16" t="s">
        <v>937</v>
      </c>
      <c r="D19" s="24" t="s">
        <v>938</v>
      </c>
      <c r="E19" s="25">
        <v>1421</v>
      </c>
      <c r="F19" s="26" t="s">
        <v>277</v>
      </c>
      <c r="G19" s="16" t="s">
        <v>278</v>
      </c>
      <c r="H19" s="31">
        <v>44.7</v>
      </c>
      <c r="I19" s="31">
        <v>45</v>
      </c>
      <c r="J19" s="16" t="s">
        <v>40</v>
      </c>
    </row>
    <row r="20" spans="1:10">
      <c r="A20" s="19">
        <v>16</v>
      </c>
      <c r="B20" s="16" t="s">
        <v>379</v>
      </c>
      <c r="C20" s="16" t="s">
        <v>939</v>
      </c>
      <c r="D20" s="24" t="s">
        <v>940</v>
      </c>
      <c r="E20" s="25">
        <v>592</v>
      </c>
      <c r="F20" s="26" t="s">
        <v>277</v>
      </c>
      <c r="G20" s="16" t="s">
        <v>278</v>
      </c>
      <c r="H20" s="31">
        <v>33.200000000000003</v>
      </c>
      <c r="I20" s="31">
        <v>32.9</v>
      </c>
      <c r="J20" s="16" t="s">
        <v>40</v>
      </c>
    </row>
    <row r="21" spans="1:10">
      <c r="A21" s="19">
        <v>17</v>
      </c>
      <c r="B21" s="16" t="s">
        <v>379</v>
      </c>
      <c r="C21" s="16" t="s">
        <v>941</v>
      </c>
      <c r="D21" s="24" t="s">
        <v>942</v>
      </c>
      <c r="E21" s="25">
        <v>575</v>
      </c>
      <c r="F21" s="26" t="s">
        <v>277</v>
      </c>
      <c r="G21" s="16" t="s">
        <v>278</v>
      </c>
      <c r="H21" s="31">
        <v>50.9</v>
      </c>
      <c r="I21" s="31">
        <v>52.9</v>
      </c>
      <c r="J21" s="16" t="s">
        <v>40</v>
      </c>
    </row>
    <row r="22" spans="1:10">
      <c r="A22" s="19">
        <v>18</v>
      </c>
      <c r="B22" s="16" t="s">
        <v>379</v>
      </c>
      <c r="C22" s="16" t="s">
        <v>943</v>
      </c>
      <c r="D22" s="24" t="s">
        <v>944</v>
      </c>
      <c r="E22" s="25">
        <v>1390</v>
      </c>
      <c r="F22" s="26" t="s">
        <v>277</v>
      </c>
      <c r="G22" s="16" t="s">
        <v>278</v>
      </c>
      <c r="H22" s="31">
        <v>30.3</v>
      </c>
      <c r="I22" s="31">
        <v>33.799999999999997</v>
      </c>
      <c r="J22" s="16" t="s">
        <v>40</v>
      </c>
    </row>
    <row r="23" spans="1:10">
      <c r="A23" s="19">
        <v>19</v>
      </c>
      <c r="B23" s="16" t="s">
        <v>379</v>
      </c>
      <c r="C23" s="16" t="s">
        <v>945</v>
      </c>
      <c r="D23" s="24" t="s">
        <v>946</v>
      </c>
      <c r="E23" s="25">
        <v>1960</v>
      </c>
      <c r="F23" s="26" t="s">
        <v>277</v>
      </c>
      <c r="G23" s="16" t="s">
        <v>278</v>
      </c>
      <c r="H23" s="31">
        <v>26.3</v>
      </c>
      <c r="I23" s="31">
        <v>28.6</v>
      </c>
      <c r="J23" s="16" t="s">
        <v>40</v>
      </c>
    </row>
    <row r="24" spans="1:10">
      <c r="A24" s="19">
        <v>20</v>
      </c>
      <c r="B24" s="16" t="s">
        <v>379</v>
      </c>
      <c r="C24" s="16" t="s">
        <v>947</v>
      </c>
      <c r="D24" s="24" t="s">
        <v>948</v>
      </c>
      <c r="E24" s="25">
        <v>1111</v>
      </c>
      <c r="F24" s="26" t="s">
        <v>949</v>
      </c>
      <c r="G24" s="16" t="s">
        <v>950</v>
      </c>
      <c r="H24" s="31">
        <v>22.1</v>
      </c>
      <c r="I24" s="31">
        <v>22.9</v>
      </c>
      <c r="J24" s="16" t="s">
        <v>40</v>
      </c>
    </row>
    <row r="25" spans="1:10">
      <c r="A25" s="19">
        <v>21</v>
      </c>
      <c r="B25" s="16" t="s">
        <v>379</v>
      </c>
      <c r="C25" s="16" t="s">
        <v>951</v>
      </c>
      <c r="D25" s="24" t="s">
        <v>952</v>
      </c>
      <c r="E25" s="25">
        <v>894</v>
      </c>
      <c r="F25" s="26" t="s">
        <v>277</v>
      </c>
      <c r="G25" s="16" t="s">
        <v>278</v>
      </c>
      <c r="H25" s="31">
        <v>38.6</v>
      </c>
      <c r="I25" s="31">
        <v>43.5</v>
      </c>
      <c r="J25" s="16" t="s">
        <v>40</v>
      </c>
    </row>
    <row r="26" spans="1:10">
      <c r="A26" s="19">
        <v>22</v>
      </c>
      <c r="B26" s="16" t="s">
        <v>379</v>
      </c>
      <c r="C26" s="16" t="s">
        <v>953</v>
      </c>
      <c r="D26" s="24" t="s">
        <v>954</v>
      </c>
      <c r="E26" s="25">
        <v>1333</v>
      </c>
      <c r="F26" s="26" t="s">
        <v>277</v>
      </c>
      <c r="G26" s="16" t="s">
        <v>278</v>
      </c>
      <c r="H26" s="31">
        <v>48.4</v>
      </c>
      <c r="I26" s="31">
        <v>49.2</v>
      </c>
      <c r="J26" s="16" t="s">
        <v>40</v>
      </c>
    </row>
    <row r="27" spans="1:10">
      <c r="A27" s="19">
        <v>23</v>
      </c>
      <c r="B27" s="16" t="s">
        <v>379</v>
      </c>
      <c r="C27" s="16" t="s">
        <v>955</v>
      </c>
      <c r="D27" s="24" t="s">
        <v>956</v>
      </c>
      <c r="E27" s="25">
        <v>1740</v>
      </c>
      <c r="F27" s="26" t="s">
        <v>277</v>
      </c>
      <c r="G27" s="16" t="s">
        <v>278</v>
      </c>
      <c r="H27" s="31">
        <v>35.6</v>
      </c>
      <c r="I27" s="31">
        <v>40.9</v>
      </c>
      <c r="J27" s="16" t="s">
        <v>40</v>
      </c>
    </row>
    <row r="28" spans="1:10">
      <c r="A28" s="19">
        <v>24</v>
      </c>
      <c r="B28" s="16" t="s">
        <v>379</v>
      </c>
      <c r="C28" s="16" t="s">
        <v>957</v>
      </c>
      <c r="D28" s="24" t="s">
        <v>958</v>
      </c>
      <c r="E28" s="25">
        <v>1291</v>
      </c>
      <c r="F28" s="26" t="s">
        <v>277</v>
      </c>
      <c r="G28" s="16" t="s">
        <v>278</v>
      </c>
      <c r="H28" s="31">
        <v>50.8</v>
      </c>
      <c r="I28" s="31">
        <v>53.5</v>
      </c>
      <c r="J28" s="16" t="s">
        <v>40</v>
      </c>
    </row>
    <row r="29" spans="1:10">
      <c r="A29" s="19">
        <v>25</v>
      </c>
      <c r="B29" s="16" t="s">
        <v>379</v>
      </c>
      <c r="C29" s="16" t="s">
        <v>959</v>
      </c>
      <c r="D29" s="24" t="s">
        <v>960</v>
      </c>
      <c r="E29" s="25">
        <v>1175</v>
      </c>
      <c r="F29" s="26" t="s">
        <v>277</v>
      </c>
      <c r="G29" s="16" t="s">
        <v>278</v>
      </c>
      <c r="H29" s="31">
        <v>32.799999999999997</v>
      </c>
      <c r="I29" s="31">
        <v>38.1</v>
      </c>
      <c r="J29" s="16" t="s">
        <v>40</v>
      </c>
    </row>
    <row r="30" spans="1:10">
      <c r="A30" s="19">
        <v>26</v>
      </c>
      <c r="B30" s="16" t="s">
        <v>379</v>
      </c>
      <c r="C30" s="16" t="s">
        <v>961</v>
      </c>
      <c r="D30" s="24" t="s">
        <v>962</v>
      </c>
      <c r="E30" s="25">
        <v>3208</v>
      </c>
      <c r="F30" s="26" t="s">
        <v>277</v>
      </c>
      <c r="G30" s="16" t="s">
        <v>278</v>
      </c>
      <c r="H30" s="31">
        <v>41.5</v>
      </c>
      <c r="I30" s="31">
        <v>46.1</v>
      </c>
      <c r="J30" s="16" t="s">
        <v>40</v>
      </c>
    </row>
    <row r="31" spans="1:10">
      <c r="A31" s="19">
        <v>27</v>
      </c>
      <c r="B31" s="16" t="s">
        <v>379</v>
      </c>
      <c r="C31" s="16" t="s">
        <v>963</v>
      </c>
      <c r="D31" s="24" t="s">
        <v>964</v>
      </c>
      <c r="E31" s="25">
        <v>1294</v>
      </c>
      <c r="F31" s="26" t="s">
        <v>277</v>
      </c>
      <c r="G31" s="16" t="s">
        <v>278</v>
      </c>
      <c r="H31" s="31">
        <v>35.6</v>
      </c>
      <c r="I31" s="31">
        <v>35.5</v>
      </c>
      <c r="J31" s="16" t="s">
        <v>40</v>
      </c>
    </row>
    <row r="32" spans="1:10">
      <c r="A32" s="19">
        <v>28</v>
      </c>
      <c r="B32" s="16" t="s">
        <v>379</v>
      </c>
      <c r="C32" s="16" t="s">
        <v>965</v>
      </c>
      <c r="D32" s="24" t="s">
        <v>966</v>
      </c>
      <c r="E32" s="25">
        <v>1575</v>
      </c>
      <c r="F32" s="26" t="s">
        <v>949</v>
      </c>
      <c r="G32" s="16" t="s">
        <v>950</v>
      </c>
      <c r="H32" s="31">
        <v>24.5</v>
      </c>
      <c r="I32" s="31">
        <v>28.7</v>
      </c>
      <c r="J32" s="16" t="s">
        <v>40</v>
      </c>
    </row>
    <row r="33" spans="1:10">
      <c r="A33" s="19">
        <v>29</v>
      </c>
      <c r="B33" s="16" t="s">
        <v>379</v>
      </c>
      <c r="C33" s="16" t="s">
        <v>278</v>
      </c>
      <c r="D33" s="24" t="s">
        <v>967</v>
      </c>
      <c r="E33" s="25">
        <v>9140</v>
      </c>
      <c r="F33" s="26" t="s">
        <v>277</v>
      </c>
      <c r="G33" s="16" t="s">
        <v>278</v>
      </c>
      <c r="H33" s="31">
        <v>43.2</v>
      </c>
      <c r="I33" s="31">
        <v>47</v>
      </c>
      <c r="J33" s="16" t="s">
        <v>40</v>
      </c>
    </row>
    <row r="34" spans="1:10">
      <c r="A34" s="19">
        <v>30</v>
      </c>
      <c r="B34" s="16" t="s">
        <v>379</v>
      </c>
      <c r="C34" s="16" t="s">
        <v>968</v>
      </c>
      <c r="D34" s="24" t="s">
        <v>969</v>
      </c>
      <c r="E34" s="25">
        <v>965</v>
      </c>
      <c r="F34" s="26" t="s">
        <v>277</v>
      </c>
      <c r="G34" s="16" t="s">
        <v>278</v>
      </c>
      <c r="H34" s="31">
        <v>37.700000000000003</v>
      </c>
      <c r="I34" s="31">
        <v>38.5</v>
      </c>
      <c r="J34" s="16" t="s">
        <v>40</v>
      </c>
    </row>
    <row r="35" spans="1:10">
      <c r="A35" s="19">
        <v>31</v>
      </c>
      <c r="B35" s="16" t="s">
        <v>379</v>
      </c>
      <c r="C35" s="16" t="s">
        <v>970</v>
      </c>
      <c r="D35" s="24" t="s">
        <v>971</v>
      </c>
      <c r="E35" s="25">
        <v>511</v>
      </c>
      <c r="F35" s="26" t="s">
        <v>277</v>
      </c>
      <c r="G35" s="16" t="s">
        <v>278</v>
      </c>
      <c r="H35" s="31">
        <v>35.700000000000003</v>
      </c>
      <c r="I35" s="31">
        <v>40.299999999999997</v>
      </c>
      <c r="J35" s="16" t="s">
        <v>40</v>
      </c>
    </row>
    <row r="36" spans="1:10">
      <c r="A36" s="19">
        <v>32</v>
      </c>
      <c r="B36" s="16" t="s">
        <v>379</v>
      </c>
      <c r="C36" s="16" t="s">
        <v>972</v>
      </c>
      <c r="D36" s="24" t="s">
        <v>973</v>
      </c>
      <c r="E36" s="25">
        <v>1025</v>
      </c>
      <c r="F36" s="26" t="s">
        <v>277</v>
      </c>
      <c r="G36" s="16" t="s">
        <v>278</v>
      </c>
      <c r="H36" s="31">
        <v>39.9</v>
      </c>
      <c r="I36" s="31">
        <v>40.5</v>
      </c>
      <c r="J36" s="16" t="s">
        <v>40</v>
      </c>
    </row>
    <row r="37" spans="1:10">
      <c r="A37" s="19">
        <v>33</v>
      </c>
      <c r="B37" s="16" t="s">
        <v>974</v>
      </c>
      <c r="C37" s="16" t="s">
        <v>975</v>
      </c>
      <c r="D37" s="24" t="s">
        <v>976</v>
      </c>
      <c r="E37" s="25">
        <v>1305</v>
      </c>
      <c r="F37" s="26" t="s">
        <v>949</v>
      </c>
      <c r="G37" s="16" t="s">
        <v>950</v>
      </c>
      <c r="H37" s="31">
        <v>19.8</v>
      </c>
      <c r="I37" s="31">
        <v>23.6</v>
      </c>
      <c r="J37" s="16" t="s">
        <v>40</v>
      </c>
    </row>
    <row r="38" spans="1:10">
      <c r="A38" s="19">
        <v>34</v>
      </c>
      <c r="B38" s="16" t="s">
        <v>974</v>
      </c>
      <c r="C38" s="16" t="s">
        <v>977</v>
      </c>
      <c r="D38" s="24" t="s">
        <v>978</v>
      </c>
      <c r="E38" s="25">
        <v>1301</v>
      </c>
      <c r="F38" s="26" t="s">
        <v>644</v>
      </c>
      <c r="G38" s="16" t="s">
        <v>645</v>
      </c>
      <c r="H38" s="31">
        <v>21.4</v>
      </c>
      <c r="I38" s="31">
        <v>26.6</v>
      </c>
      <c r="J38" s="16" t="s">
        <v>40</v>
      </c>
    </row>
    <row r="39" spans="1:10">
      <c r="A39" s="19">
        <v>35</v>
      </c>
      <c r="B39" s="16" t="s">
        <v>974</v>
      </c>
      <c r="C39" s="16" t="s">
        <v>979</v>
      </c>
      <c r="D39" s="24" t="s">
        <v>980</v>
      </c>
      <c r="E39" s="25">
        <v>1285</v>
      </c>
      <c r="F39" s="26" t="s">
        <v>949</v>
      </c>
      <c r="G39" s="16" t="s">
        <v>950</v>
      </c>
      <c r="H39" s="31">
        <v>16.8</v>
      </c>
      <c r="I39" s="31">
        <v>16.600000000000001</v>
      </c>
      <c r="J39" s="16" t="s">
        <v>40</v>
      </c>
    </row>
    <row r="40" spans="1:10">
      <c r="A40" s="19">
        <v>36</v>
      </c>
      <c r="B40" s="16" t="s">
        <v>974</v>
      </c>
      <c r="C40" s="16" t="s">
        <v>981</v>
      </c>
      <c r="D40" s="24" t="s">
        <v>982</v>
      </c>
      <c r="E40" s="25">
        <v>1074</v>
      </c>
      <c r="F40" s="26" t="s">
        <v>644</v>
      </c>
      <c r="G40" s="16" t="s">
        <v>645</v>
      </c>
      <c r="H40" s="31">
        <v>25.8</v>
      </c>
      <c r="I40" s="31">
        <v>29.8</v>
      </c>
      <c r="J40" s="16" t="s">
        <v>40</v>
      </c>
    </row>
    <row r="41" spans="1:10">
      <c r="A41" s="19">
        <v>37</v>
      </c>
      <c r="B41" s="16" t="s">
        <v>974</v>
      </c>
      <c r="C41" s="16" t="s">
        <v>983</v>
      </c>
      <c r="D41" s="24" t="s">
        <v>984</v>
      </c>
      <c r="E41" s="25">
        <v>740</v>
      </c>
      <c r="F41" s="26" t="s">
        <v>949</v>
      </c>
      <c r="G41" s="16" t="s">
        <v>950</v>
      </c>
      <c r="H41" s="31">
        <v>19.3</v>
      </c>
      <c r="I41" s="31">
        <v>22.4</v>
      </c>
      <c r="J41" s="16" t="s">
        <v>40</v>
      </c>
    </row>
    <row r="42" spans="1:10">
      <c r="A42" s="19">
        <v>38</v>
      </c>
      <c r="B42" s="16" t="s">
        <v>974</v>
      </c>
      <c r="C42" s="16" t="s">
        <v>985</v>
      </c>
      <c r="D42" s="24" t="s">
        <v>986</v>
      </c>
      <c r="E42" s="25">
        <v>708</v>
      </c>
      <c r="F42" s="26" t="s">
        <v>949</v>
      </c>
      <c r="G42" s="16" t="s">
        <v>950</v>
      </c>
      <c r="H42" s="31">
        <v>16.600000000000001</v>
      </c>
      <c r="I42" s="31">
        <v>17.399999999999999</v>
      </c>
      <c r="J42" s="16" t="s">
        <v>40</v>
      </c>
    </row>
    <row r="43" spans="1:10">
      <c r="A43" s="19">
        <v>39</v>
      </c>
      <c r="B43" s="16" t="s">
        <v>974</v>
      </c>
      <c r="C43" s="16" t="s">
        <v>987</v>
      </c>
      <c r="D43" s="24" t="s">
        <v>988</v>
      </c>
      <c r="E43" s="25">
        <v>919</v>
      </c>
      <c r="F43" s="26" t="s">
        <v>949</v>
      </c>
      <c r="G43" s="16" t="s">
        <v>950</v>
      </c>
      <c r="H43" s="31">
        <v>26.2</v>
      </c>
      <c r="I43" s="31">
        <v>32.299999999999997</v>
      </c>
      <c r="J43" s="16" t="s">
        <v>40</v>
      </c>
    </row>
    <row r="44" spans="1:10">
      <c r="A44" s="19">
        <v>40</v>
      </c>
      <c r="B44" s="16" t="s">
        <v>974</v>
      </c>
      <c r="C44" s="16" t="s">
        <v>989</v>
      </c>
      <c r="D44" s="24" t="s">
        <v>990</v>
      </c>
      <c r="E44" s="25">
        <v>968</v>
      </c>
      <c r="F44" s="26" t="s">
        <v>915</v>
      </c>
      <c r="G44" s="16" t="s">
        <v>916</v>
      </c>
      <c r="H44" s="31">
        <v>29.8</v>
      </c>
      <c r="I44" s="31">
        <v>32.5</v>
      </c>
      <c r="J44" s="16" t="s">
        <v>40</v>
      </c>
    </row>
    <row r="45" spans="1:10">
      <c r="A45" s="19">
        <v>41</v>
      </c>
      <c r="B45" s="16" t="s">
        <v>974</v>
      </c>
      <c r="C45" s="16" t="s">
        <v>991</v>
      </c>
      <c r="D45" s="24" t="s">
        <v>992</v>
      </c>
      <c r="E45" s="25">
        <v>1567</v>
      </c>
      <c r="F45" s="26" t="s">
        <v>915</v>
      </c>
      <c r="G45" s="16" t="s">
        <v>916</v>
      </c>
      <c r="H45" s="31">
        <v>28.7</v>
      </c>
      <c r="I45" s="31">
        <v>33.4</v>
      </c>
      <c r="J45" s="16" t="s">
        <v>40</v>
      </c>
    </row>
    <row r="46" spans="1:10">
      <c r="A46" s="19">
        <v>42</v>
      </c>
      <c r="B46" s="16" t="s">
        <v>974</v>
      </c>
      <c r="C46" s="16" t="s">
        <v>993</v>
      </c>
      <c r="D46" s="24" t="s">
        <v>994</v>
      </c>
      <c r="E46" s="25">
        <v>618</v>
      </c>
      <c r="F46" s="26" t="s">
        <v>573</v>
      </c>
      <c r="G46" s="16" t="s">
        <v>574</v>
      </c>
      <c r="H46" s="31">
        <v>35.700000000000003</v>
      </c>
      <c r="I46" s="31">
        <v>41.8</v>
      </c>
      <c r="J46" s="16" t="s">
        <v>40</v>
      </c>
    </row>
    <row r="47" spans="1:10">
      <c r="A47" s="19">
        <v>43</v>
      </c>
      <c r="B47" s="16" t="s">
        <v>974</v>
      </c>
      <c r="C47" s="16" t="s">
        <v>995</v>
      </c>
      <c r="D47" s="24" t="s">
        <v>996</v>
      </c>
      <c r="E47" s="25">
        <v>1379</v>
      </c>
      <c r="F47" s="26" t="s">
        <v>949</v>
      </c>
      <c r="G47" s="16" t="s">
        <v>950</v>
      </c>
      <c r="H47" s="31">
        <v>14.1</v>
      </c>
      <c r="I47" s="31">
        <v>13.8</v>
      </c>
      <c r="J47" s="16" t="s">
        <v>40</v>
      </c>
    </row>
    <row r="48" spans="1:10">
      <c r="A48" s="19">
        <v>44</v>
      </c>
      <c r="B48" s="16" t="s">
        <v>974</v>
      </c>
      <c r="C48" s="16" t="s">
        <v>997</v>
      </c>
      <c r="D48" s="24" t="s">
        <v>998</v>
      </c>
      <c r="E48" s="25">
        <v>1148</v>
      </c>
      <c r="F48" s="26" t="s">
        <v>573</v>
      </c>
      <c r="G48" s="16" t="s">
        <v>574</v>
      </c>
      <c r="H48" s="31">
        <v>35.700000000000003</v>
      </c>
      <c r="I48" s="31">
        <v>41.4</v>
      </c>
      <c r="J48" s="16" t="s">
        <v>40</v>
      </c>
    </row>
    <row r="49" spans="1:10">
      <c r="A49" s="19">
        <v>45</v>
      </c>
      <c r="B49" s="16" t="s">
        <v>974</v>
      </c>
      <c r="C49" s="16" t="s">
        <v>999</v>
      </c>
      <c r="D49" s="24" t="s">
        <v>1000</v>
      </c>
      <c r="E49" s="25">
        <v>3146</v>
      </c>
      <c r="F49" s="26" t="s">
        <v>277</v>
      </c>
      <c r="G49" s="16" t="s">
        <v>278</v>
      </c>
      <c r="H49" s="31">
        <v>26.6</v>
      </c>
      <c r="I49" s="31">
        <v>19.899999999999999</v>
      </c>
      <c r="J49" s="16" t="s">
        <v>293</v>
      </c>
    </row>
    <row r="50" spans="1:10">
      <c r="A50" s="19">
        <v>46</v>
      </c>
      <c r="B50" s="16" t="s">
        <v>974</v>
      </c>
      <c r="C50" s="16" t="s">
        <v>1001</v>
      </c>
      <c r="D50" s="24" t="s">
        <v>1002</v>
      </c>
      <c r="E50" s="25">
        <v>2390</v>
      </c>
      <c r="F50" s="26" t="s">
        <v>949</v>
      </c>
      <c r="G50" s="16" t="s">
        <v>950</v>
      </c>
      <c r="H50" s="31">
        <v>7.4</v>
      </c>
      <c r="I50" s="31">
        <v>7.5</v>
      </c>
      <c r="J50" s="16" t="s">
        <v>40</v>
      </c>
    </row>
    <row r="51" spans="1:10">
      <c r="A51" s="19">
        <v>47</v>
      </c>
      <c r="B51" s="16" t="s">
        <v>974</v>
      </c>
      <c r="C51" s="16" t="s">
        <v>1003</v>
      </c>
      <c r="D51" s="24" t="s">
        <v>1004</v>
      </c>
      <c r="E51" s="25">
        <v>848</v>
      </c>
      <c r="F51" s="26" t="s">
        <v>949</v>
      </c>
      <c r="G51" s="16" t="s">
        <v>950</v>
      </c>
      <c r="H51" s="31">
        <v>16.100000000000001</v>
      </c>
      <c r="I51" s="31">
        <v>16.399999999999999</v>
      </c>
      <c r="J51" s="16" t="s">
        <v>40</v>
      </c>
    </row>
    <row r="52" spans="1:10">
      <c r="A52" s="19">
        <v>48</v>
      </c>
      <c r="B52" s="16" t="s">
        <v>974</v>
      </c>
      <c r="C52" s="16" t="s">
        <v>1005</v>
      </c>
      <c r="D52" s="24" t="s">
        <v>1006</v>
      </c>
      <c r="E52" s="25">
        <v>1158</v>
      </c>
      <c r="F52" s="26" t="s">
        <v>949</v>
      </c>
      <c r="G52" s="16" t="s">
        <v>950</v>
      </c>
      <c r="H52" s="31">
        <v>25.7</v>
      </c>
      <c r="I52" s="31">
        <v>31.5</v>
      </c>
      <c r="J52" s="16" t="s">
        <v>40</v>
      </c>
    </row>
    <row r="53" spans="1:10">
      <c r="A53" s="19">
        <v>49</v>
      </c>
      <c r="B53" s="16" t="s">
        <v>974</v>
      </c>
      <c r="C53" s="16" t="s">
        <v>1007</v>
      </c>
      <c r="D53" s="24" t="s">
        <v>1008</v>
      </c>
      <c r="E53" s="25">
        <v>3153</v>
      </c>
      <c r="F53" s="26" t="s">
        <v>915</v>
      </c>
      <c r="G53" s="16" t="s">
        <v>916</v>
      </c>
      <c r="H53" s="31">
        <v>14.9</v>
      </c>
      <c r="I53" s="31">
        <v>15.1</v>
      </c>
      <c r="J53" s="16" t="s">
        <v>40</v>
      </c>
    </row>
    <row r="54" spans="1:10">
      <c r="A54" s="19">
        <v>50</v>
      </c>
      <c r="B54" s="16" t="s">
        <v>974</v>
      </c>
      <c r="C54" s="16" t="s">
        <v>1009</v>
      </c>
      <c r="D54" s="24" t="s">
        <v>1010</v>
      </c>
      <c r="E54" s="25">
        <v>3722</v>
      </c>
      <c r="F54" s="26" t="s">
        <v>949</v>
      </c>
      <c r="G54" s="16" t="s">
        <v>950</v>
      </c>
      <c r="H54" s="31">
        <v>14.8</v>
      </c>
      <c r="I54" s="31">
        <v>17.3</v>
      </c>
      <c r="J54" s="16" t="s">
        <v>40</v>
      </c>
    </row>
    <row r="55" spans="1:10">
      <c r="A55" s="19">
        <v>51</v>
      </c>
      <c r="B55" s="16" t="s">
        <v>974</v>
      </c>
      <c r="C55" s="16" t="s">
        <v>916</v>
      </c>
      <c r="D55" s="24" t="s">
        <v>1011</v>
      </c>
      <c r="E55" s="25">
        <v>3773</v>
      </c>
      <c r="F55" s="26" t="s">
        <v>915</v>
      </c>
      <c r="G55" s="16" t="s">
        <v>916</v>
      </c>
      <c r="H55" s="31">
        <v>22.5</v>
      </c>
      <c r="I55" s="31">
        <v>24.9</v>
      </c>
      <c r="J55" s="16" t="s">
        <v>40</v>
      </c>
    </row>
    <row r="56" spans="1:10">
      <c r="A56" s="19">
        <v>52</v>
      </c>
      <c r="B56" s="16" t="s">
        <v>974</v>
      </c>
      <c r="C56" s="16" t="s">
        <v>1012</v>
      </c>
      <c r="D56" s="24" t="s">
        <v>1013</v>
      </c>
      <c r="E56" s="25">
        <v>697</v>
      </c>
      <c r="F56" s="26" t="s">
        <v>949</v>
      </c>
      <c r="G56" s="16" t="s">
        <v>950</v>
      </c>
      <c r="H56" s="31">
        <v>31.8</v>
      </c>
      <c r="I56" s="31">
        <v>37.9</v>
      </c>
      <c r="J56" s="16" t="s">
        <v>40</v>
      </c>
    </row>
    <row r="57" spans="1:10">
      <c r="A57" s="19">
        <v>53</v>
      </c>
      <c r="B57" s="16" t="s">
        <v>974</v>
      </c>
      <c r="C57" s="16" t="s">
        <v>1014</v>
      </c>
      <c r="D57" s="24" t="s">
        <v>1015</v>
      </c>
      <c r="E57" s="25">
        <v>2794</v>
      </c>
      <c r="F57" s="26" t="s">
        <v>949</v>
      </c>
      <c r="G57" s="16" t="s">
        <v>950</v>
      </c>
      <c r="H57" s="31">
        <v>19.399999999999999</v>
      </c>
      <c r="I57" s="31">
        <v>21.3</v>
      </c>
      <c r="J57" s="16" t="s">
        <v>40</v>
      </c>
    </row>
    <row r="58" spans="1:10">
      <c r="A58" s="19">
        <v>54</v>
      </c>
      <c r="B58" s="16" t="s">
        <v>974</v>
      </c>
      <c r="C58" s="16" t="s">
        <v>1016</v>
      </c>
      <c r="D58" s="24" t="s">
        <v>1017</v>
      </c>
      <c r="E58" s="25">
        <v>2327</v>
      </c>
      <c r="F58" s="26" t="s">
        <v>949</v>
      </c>
      <c r="G58" s="16" t="s">
        <v>950</v>
      </c>
      <c r="H58" s="31">
        <v>9.1</v>
      </c>
      <c r="I58" s="31">
        <v>7.2</v>
      </c>
      <c r="J58" s="16" t="s">
        <v>40</v>
      </c>
    </row>
    <row r="59" spans="1:10">
      <c r="A59" s="19">
        <v>55</v>
      </c>
      <c r="B59" s="16" t="s">
        <v>974</v>
      </c>
      <c r="C59" s="16" t="s">
        <v>1018</v>
      </c>
      <c r="D59" s="24" t="s">
        <v>1019</v>
      </c>
      <c r="E59" s="25">
        <v>2906</v>
      </c>
      <c r="F59" s="26" t="s">
        <v>949</v>
      </c>
      <c r="G59" s="16" t="s">
        <v>950</v>
      </c>
      <c r="H59" s="31">
        <v>7.7</v>
      </c>
      <c r="I59" s="31">
        <v>7.2</v>
      </c>
      <c r="J59" s="16" t="s">
        <v>40</v>
      </c>
    </row>
    <row r="60" spans="1:10">
      <c r="A60" s="19">
        <v>56</v>
      </c>
      <c r="B60" s="16" t="s">
        <v>974</v>
      </c>
      <c r="C60" s="16" t="s">
        <v>1020</v>
      </c>
      <c r="D60" s="24"/>
      <c r="E60" s="25">
        <v>0</v>
      </c>
      <c r="F60" s="26" t="s">
        <v>949</v>
      </c>
      <c r="G60" s="16" t="s">
        <v>950</v>
      </c>
      <c r="H60" s="31">
        <v>21</v>
      </c>
      <c r="I60" s="31">
        <v>27</v>
      </c>
      <c r="J60" s="16" t="s">
        <v>40</v>
      </c>
    </row>
    <row r="61" spans="1:10">
      <c r="A61" s="19">
        <v>57</v>
      </c>
      <c r="B61" s="16" t="s">
        <v>974</v>
      </c>
      <c r="C61" s="16" t="s">
        <v>1021</v>
      </c>
      <c r="D61" s="24" t="s">
        <v>1022</v>
      </c>
      <c r="E61" s="25">
        <v>599</v>
      </c>
      <c r="F61" s="26" t="s">
        <v>573</v>
      </c>
      <c r="G61" s="16" t="s">
        <v>574</v>
      </c>
      <c r="H61" s="31">
        <v>43.5</v>
      </c>
      <c r="I61" s="31">
        <v>48.7</v>
      </c>
      <c r="J61" s="16" t="s">
        <v>40</v>
      </c>
    </row>
    <row r="62" spans="1:10">
      <c r="A62" s="19">
        <v>58</v>
      </c>
      <c r="B62" s="16" t="s">
        <v>974</v>
      </c>
      <c r="C62" s="16" t="s">
        <v>1023</v>
      </c>
      <c r="D62" s="24" t="s">
        <v>1024</v>
      </c>
      <c r="E62" s="25">
        <v>2249</v>
      </c>
      <c r="F62" s="26" t="s">
        <v>949</v>
      </c>
      <c r="G62" s="16" t="s">
        <v>950</v>
      </c>
      <c r="H62" s="31">
        <v>19.899999999999999</v>
      </c>
      <c r="I62" s="31">
        <v>17.899999999999999</v>
      </c>
      <c r="J62" s="16" t="s">
        <v>40</v>
      </c>
    </row>
    <row r="63" spans="1:10">
      <c r="A63" s="19">
        <v>59</v>
      </c>
      <c r="B63" s="16" t="s">
        <v>974</v>
      </c>
      <c r="C63" s="16" t="s">
        <v>1025</v>
      </c>
      <c r="D63" s="24" t="s">
        <v>1026</v>
      </c>
      <c r="E63" s="25">
        <v>414</v>
      </c>
      <c r="F63" s="26" t="s">
        <v>949</v>
      </c>
      <c r="G63" s="16" t="s">
        <v>950</v>
      </c>
      <c r="H63" s="31">
        <v>35.299999999999997</v>
      </c>
      <c r="I63" s="31">
        <v>40.9</v>
      </c>
      <c r="J63" s="16" t="s">
        <v>40</v>
      </c>
    </row>
    <row r="64" spans="1:10">
      <c r="A64" s="19">
        <v>60</v>
      </c>
      <c r="B64" s="16" t="s">
        <v>974</v>
      </c>
      <c r="C64" s="16" t="s">
        <v>1027</v>
      </c>
      <c r="D64" s="24" t="s">
        <v>1028</v>
      </c>
      <c r="E64" s="25">
        <v>512</v>
      </c>
      <c r="F64" s="26" t="s">
        <v>573</v>
      </c>
      <c r="G64" s="16" t="s">
        <v>574</v>
      </c>
      <c r="H64" s="31">
        <v>43</v>
      </c>
      <c r="I64" s="31">
        <v>48</v>
      </c>
      <c r="J64" s="16" t="s">
        <v>40</v>
      </c>
    </row>
    <row r="65" spans="1:10">
      <c r="A65" s="19">
        <v>61</v>
      </c>
      <c r="B65" s="16" t="s">
        <v>974</v>
      </c>
      <c r="C65" s="16" t="s">
        <v>1029</v>
      </c>
      <c r="D65" s="24" t="s">
        <v>1030</v>
      </c>
      <c r="E65" s="25">
        <v>1698</v>
      </c>
      <c r="F65" s="26" t="s">
        <v>949</v>
      </c>
      <c r="G65" s="16" t="s">
        <v>950</v>
      </c>
      <c r="H65" s="31">
        <v>20.100000000000001</v>
      </c>
      <c r="I65" s="31">
        <v>21.5</v>
      </c>
      <c r="J65" s="16" t="s">
        <v>40</v>
      </c>
    </row>
    <row r="66" spans="1:10">
      <c r="A66" s="19">
        <v>62</v>
      </c>
      <c r="B66" s="16" t="s">
        <v>974</v>
      </c>
      <c r="C66" s="16" t="s">
        <v>950</v>
      </c>
      <c r="D66" s="24" t="s">
        <v>1031</v>
      </c>
      <c r="E66" s="25">
        <v>26457</v>
      </c>
      <c r="F66" s="26" t="s">
        <v>949</v>
      </c>
      <c r="G66" s="16" t="s">
        <v>950</v>
      </c>
      <c r="H66" s="31">
        <v>0</v>
      </c>
      <c r="I66" s="31">
        <v>0</v>
      </c>
      <c r="J66" s="16" t="s">
        <v>40</v>
      </c>
    </row>
    <row r="67" spans="1:10">
      <c r="A67" s="19">
        <v>63</v>
      </c>
      <c r="B67" s="16" t="s">
        <v>974</v>
      </c>
      <c r="C67" s="16" t="s">
        <v>1032</v>
      </c>
      <c r="D67" s="24" t="s">
        <v>1033</v>
      </c>
      <c r="E67" s="25">
        <v>1027</v>
      </c>
      <c r="F67" s="26" t="s">
        <v>949</v>
      </c>
      <c r="G67" s="16" t="s">
        <v>950</v>
      </c>
      <c r="H67" s="31">
        <v>24.8</v>
      </c>
      <c r="I67" s="31">
        <v>26.5</v>
      </c>
      <c r="J67" s="16" t="s">
        <v>40</v>
      </c>
    </row>
    <row r="68" spans="1:10">
      <c r="A68" s="19">
        <v>64</v>
      </c>
      <c r="B68" s="16" t="s">
        <v>974</v>
      </c>
      <c r="C68" s="16" t="s">
        <v>1034</v>
      </c>
      <c r="D68" s="24" t="s">
        <v>1035</v>
      </c>
      <c r="E68" s="25">
        <v>646</v>
      </c>
      <c r="F68" s="26" t="s">
        <v>949</v>
      </c>
      <c r="G68" s="16" t="s">
        <v>950</v>
      </c>
      <c r="H68" s="31">
        <v>22.1</v>
      </c>
      <c r="I68" s="31">
        <v>26.8</v>
      </c>
      <c r="J68" s="16" t="s">
        <v>40</v>
      </c>
    </row>
    <row r="69" spans="1:10">
      <c r="A69" s="20">
        <v>65</v>
      </c>
      <c r="B69" s="17" t="s">
        <v>974</v>
      </c>
      <c r="C69" s="17" t="s">
        <v>1036</v>
      </c>
      <c r="D69" s="27" t="s">
        <v>1037</v>
      </c>
      <c r="E69" s="28">
        <v>1127</v>
      </c>
      <c r="F69" s="29" t="s">
        <v>949</v>
      </c>
      <c r="G69" s="17" t="s">
        <v>950</v>
      </c>
      <c r="H69" s="32">
        <v>14</v>
      </c>
      <c r="I69" s="32">
        <v>14.1</v>
      </c>
      <c r="J69" s="17" t="s">
        <v>40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"/>
  <sheetViews>
    <sheetView showGridLines="0" workbookViewId="0"/>
  </sheetViews>
  <sheetFormatPr baseColWidth="10" defaultColWidth="8.83203125" defaultRowHeight="14"/>
  <cols>
    <col min="1" max="1" width="7" customWidth="1"/>
    <col min="2" max="2" width="23" customWidth="1"/>
    <col min="3" max="3" width="25" customWidth="1"/>
    <col min="4" max="4" width="13" customWidth="1"/>
    <col min="5" max="5" width="16" customWidth="1"/>
    <col min="6" max="6" width="15" customWidth="1"/>
    <col min="7" max="7" width="22" customWidth="1"/>
    <col min="8" max="9" width="21" customWidth="1"/>
    <col min="10" max="10" width="22" customWidth="1"/>
  </cols>
  <sheetData>
    <row r="1" spans="1:10" ht="30" customHeight="1">
      <c r="A1" s="39" t="s">
        <v>1038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2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2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5</v>
      </c>
      <c r="F4" s="14" t="s">
        <v>30</v>
      </c>
      <c r="G4" s="14" t="s">
        <v>31</v>
      </c>
      <c r="H4" s="14" t="s">
        <v>32</v>
      </c>
      <c r="I4" s="14" t="s">
        <v>33</v>
      </c>
      <c r="J4" s="14" t="s">
        <v>34</v>
      </c>
    </row>
    <row r="5" spans="1:10">
      <c r="A5" s="18">
        <v>1</v>
      </c>
      <c r="B5" s="15" t="s">
        <v>475</v>
      </c>
      <c r="C5" s="15" t="s">
        <v>1039</v>
      </c>
      <c r="D5" s="21" t="s">
        <v>1040</v>
      </c>
      <c r="E5" s="22">
        <v>274</v>
      </c>
      <c r="F5" s="23" t="s">
        <v>482</v>
      </c>
      <c r="G5" s="15" t="s">
        <v>483</v>
      </c>
      <c r="H5" s="30">
        <v>43.4</v>
      </c>
      <c r="I5" s="30">
        <v>52.9</v>
      </c>
      <c r="J5" s="15" t="s">
        <v>40</v>
      </c>
    </row>
    <row r="6" spans="1:10">
      <c r="A6" s="19">
        <v>2</v>
      </c>
      <c r="B6" s="16" t="s">
        <v>475</v>
      </c>
      <c r="C6" s="16" t="s">
        <v>1041</v>
      </c>
      <c r="D6" s="24" t="s">
        <v>1042</v>
      </c>
      <c r="E6" s="25">
        <v>3388</v>
      </c>
      <c r="F6" s="26" t="s">
        <v>482</v>
      </c>
      <c r="G6" s="16" t="s">
        <v>483</v>
      </c>
      <c r="H6" s="31">
        <v>28.1</v>
      </c>
      <c r="I6" s="31">
        <v>34.9</v>
      </c>
      <c r="J6" s="16" t="s">
        <v>40</v>
      </c>
    </row>
    <row r="7" spans="1:10">
      <c r="A7" s="19">
        <v>3</v>
      </c>
      <c r="B7" s="16" t="s">
        <v>475</v>
      </c>
      <c r="C7" s="16" t="s">
        <v>1043</v>
      </c>
      <c r="D7" s="24" t="s">
        <v>1044</v>
      </c>
      <c r="E7" s="25">
        <v>1028</v>
      </c>
      <c r="F7" s="26" t="s">
        <v>482</v>
      </c>
      <c r="G7" s="16" t="s">
        <v>483</v>
      </c>
      <c r="H7" s="31">
        <v>34.5</v>
      </c>
      <c r="I7" s="31">
        <v>42</v>
      </c>
      <c r="J7" s="16" t="s">
        <v>40</v>
      </c>
    </row>
    <row r="8" spans="1:10">
      <c r="A8" s="19">
        <v>4</v>
      </c>
      <c r="B8" s="16" t="s">
        <v>475</v>
      </c>
      <c r="C8" s="16" t="s">
        <v>1045</v>
      </c>
      <c r="D8" s="24" t="s">
        <v>1046</v>
      </c>
      <c r="E8" s="25">
        <v>1785</v>
      </c>
      <c r="F8" s="26" t="s">
        <v>482</v>
      </c>
      <c r="G8" s="16" t="s">
        <v>483</v>
      </c>
      <c r="H8" s="31">
        <v>24.7</v>
      </c>
      <c r="I8" s="31">
        <v>28.9</v>
      </c>
      <c r="J8" s="16" t="s">
        <v>40</v>
      </c>
    </row>
    <row r="9" spans="1:10">
      <c r="A9" s="19">
        <v>5</v>
      </c>
      <c r="B9" s="16" t="s">
        <v>475</v>
      </c>
      <c r="C9" s="16" t="s">
        <v>1047</v>
      </c>
      <c r="D9" s="24" t="s">
        <v>1048</v>
      </c>
      <c r="E9" s="25">
        <v>744</v>
      </c>
      <c r="F9" s="26" t="s">
        <v>482</v>
      </c>
      <c r="G9" s="16" t="s">
        <v>483</v>
      </c>
      <c r="H9" s="31">
        <v>47.3</v>
      </c>
      <c r="I9" s="31">
        <v>57.7</v>
      </c>
      <c r="J9" s="16" t="s">
        <v>40</v>
      </c>
    </row>
    <row r="10" spans="1:10">
      <c r="A10" s="19">
        <v>6</v>
      </c>
      <c r="B10" s="16" t="s">
        <v>475</v>
      </c>
      <c r="C10" s="16" t="s">
        <v>1049</v>
      </c>
      <c r="D10" s="24" t="s">
        <v>1050</v>
      </c>
      <c r="E10" s="25">
        <v>485</v>
      </c>
      <c r="F10" s="26" t="s">
        <v>482</v>
      </c>
      <c r="G10" s="16" t="s">
        <v>483</v>
      </c>
      <c r="H10" s="31">
        <v>27.4</v>
      </c>
      <c r="I10" s="31">
        <v>33</v>
      </c>
      <c r="J10" s="16" t="s">
        <v>40</v>
      </c>
    </row>
    <row r="11" spans="1:10">
      <c r="A11" s="19">
        <v>7</v>
      </c>
      <c r="B11" s="16" t="s">
        <v>475</v>
      </c>
      <c r="C11" s="16" t="s">
        <v>1051</v>
      </c>
      <c r="D11" s="24" t="s">
        <v>1052</v>
      </c>
      <c r="E11" s="25">
        <v>490</v>
      </c>
      <c r="F11" s="26" t="s">
        <v>482</v>
      </c>
      <c r="G11" s="16" t="s">
        <v>483</v>
      </c>
      <c r="H11" s="31">
        <v>46.1</v>
      </c>
      <c r="I11" s="31">
        <v>55.7</v>
      </c>
      <c r="J11" s="16" t="s">
        <v>40</v>
      </c>
    </row>
    <row r="12" spans="1:10">
      <c r="A12" s="19">
        <v>8</v>
      </c>
      <c r="B12" s="16" t="s">
        <v>475</v>
      </c>
      <c r="C12" s="16" t="s">
        <v>1053</v>
      </c>
      <c r="D12" s="24" t="s">
        <v>1054</v>
      </c>
      <c r="E12" s="25">
        <v>474</v>
      </c>
      <c r="F12" s="26" t="s">
        <v>482</v>
      </c>
      <c r="G12" s="16" t="s">
        <v>483</v>
      </c>
      <c r="H12" s="31">
        <v>33.1</v>
      </c>
      <c r="I12" s="31">
        <v>37</v>
      </c>
      <c r="J12" s="16" t="s">
        <v>40</v>
      </c>
    </row>
    <row r="13" spans="1:10">
      <c r="A13" s="19">
        <v>9</v>
      </c>
      <c r="B13" s="16" t="s">
        <v>475</v>
      </c>
      <c r="C13" s="16" t="s">
        <v>1055</v>
      </c>
      <c r="D13" s="24" t="s">
        <v>1056</v>
      </c>
      <c r="E13" s="25">
        <v>2859</v>
      </c>
      <c r="F13" s="26" t="s">
        <v>482</v>
      </c>
      <c r="G13" s="16" t="s">
        <v>483</v>
      </c>
      <c r="H13" s="31">
        <v>35.1</v>
      </c>
      <c r="I13" s="31">
        <v>42.6</v>
      </c>
      <c r="J13" s="16" t="s">
        <v>40</v>
      </c>
    </row>
    <row r="14" spans="1:10">
      <c r="A14" s="19">
        <v>10</v>
      </c>
      <c r="B14" s="16" t="s">
        <v>475</v>
      </c>
      <c r="C14" s="16" t="s">
        <v>1057</v>
      </c>
      <c r="D14" s="24" t="s">
        <v>1058</v>
      </c>
      <c r="E14" s="25">
        <v>1443</v>
      </c>
      <c r="F14" s="26" t="s">
        <v>482</v>
      </c>
      <c r="G14" s="16" t="s">
        <v>483</v>
      </c>
      <c r="H14" s="31">
        <v>42.3</v>
      </c>
      <c r="I14" s="31">
        <v>45.7</v>
      </c>
      <c r="J14" s="16" t="s">
        <v>40</v>
      </c>
    </row>
    <row r="15" spans="1:10">
      <c r="A15" s="19">
        <v>11</v>
      </c>
      <c r="B15" s="16" t="s">
        <v>475</v>
      </c>
      <c r="C15" s="16" t="s">
        <v>1059</v>
      </c>
      <c r="D15" s="24" t="s">
        <v>1060</v>
      </c>
      <c r="E15" s="25">
        <v>1899</v>
      </c>
      <c r="F15" s="26" t="s">
        <v>482</v>
      </c>
      <c r="G15" s="16" t="s">
        <v>483</v>
      </c>
      <c r="H15" s="31">
        <v>38.1</v>
      </c>
      <c r="I15" s="31">
        <v>42.6</v>
      </c>
      <c r="J15" s="16" t="s">
        <v>40</v>
      </c>
    </row>
    <row r="16" spans="1:10">
      <c r="A16" s="19">
        <v>12</v>
      </c>
      <c r="B16" s="16" t="s">
        <v>475</v>
      </c>
      <c r="C16" s="16" t="s">
        <v>483</v>
      </c>
      <c r="D16" s="24" t="s">
        <v>1061</v>
      </c>
      <c r="E16" s="25">
        <v>12939</v>
      </c>
      <c r="F16" s="26" t="s">
        <v>482</v>
      </c>
      <c r="G16" s="16" t="s">
        <v>483</v>
      </c>
      <c r="H16" s="31">
        <v>34</v>
      </c>
      <c r="I16" s="31">
        <v>42.5</v>
      </c>
      <c r="J16" s="16" t="s">
        <v>40</v>
      </c>
    </row>
    <row r="17" spans="1:10">
      <c r="A17" s="19">
        <v>13</v>
      </c>
      <c r="B17" s="16" t="s">
        <v>475</v>
      </c>
      <c r="C17" s="16" t="s">
        <v>1062</v>
      </c>
      <c r="D17" s="24" t="s">
        <v>1063</v>
      </c>
      <c r="E17" s="25">
        <v>1067</v>
      </c>
      <c r="F17" s="26" t="s">
        <v>482</v>
      </c>
      <c r="G17" s="16" t="s">
        <v>483</v>
      </c>
      <c r="H17" s="31">
        <v>26.8</v>
      </c>
      <c r="I17" s="31">
        <v>29.4</v>
      </c>
      <c r="J17" s="16" t="s">
        <v>40</v>
      </c>
    </row>
    <row r="18" spans="1:10">
      <c r="A18" s="19">
        <v>14</v>
      </c>
      <c r="B18" s="16" t="s">
        <v>475</v>
      </c>
      <c r="C18" s="16" t="s">
        <v>1064</v>
      </c>
      <c r="D18" s="24" t="s">
        <v>1065</v>
      </c>
      <c r="E18" s="25">
        <v>857</v>
      </c>
      <c r="F18" s="26" t="s">
        <v>482</v>
      </c>
      <c r="G18" s="16" t="s">
        <v>483</v>
      </c>
      <c r="H18" s="31">
        <v>31.7</v>
      </c>
      <c r="I18" s="31">
        <v>33.1</v>
      </c>
      <c r="J18" s="16" t="s">
        <v>40</v>
      </c>
    </row>
    <row r="19" spans="1:10">
      <c r="A19" s="19">
        <v>15</v>
      </c>
      <c r="B19" s="16" t="s">
        <v>475</v>
      </c>
      <c r="C19" s="16" t="s">
        <v>1066</v>
      </c>
      <c r="D19" s="24" t="s">
        <v>1067</v>
      </c>
      <c r="E19" s="25">
        <v>2682</v>
      </c>
      <c r="F19" s="26" t="s">
        <v>482</v>
      </c>
      <c r="G19" s="16" t="s">
        <v>483</v>
      </c>
      <c r="H19" s="31">
        <v>39.799999999999997</v>
      </c>
      <c r="I19" s="31">
        <v>48.6</v>
      </c>
      <c r="J19" s="16" t="s">
        <v>40</v>
      </c>
    </row>
    <row r="20" spans="1:10">
      <c r="A20" s="19">
        <v>16</v>
      </c>
      <c r="B20" s="16" t="s">
        <v>475</v>
      </c>
      <c r="C20" s="16" t="s">
        <v>1068</v>
      </c>
      <c r="D20" s="24" t="s">
        <v>1069</v>
      </c>
      <c r="E20" s="25">
        <v>1394</v>
      </c>
      <c r="F20" s="26" t="s">
        <v>482</v>
      </c>
      <c r="G20" s="16" t="s">
        <v>483</v>
      </c>
      <c r="H20" s="31">
        <v>19.8</v>
      </c>
      <c r="I20" s="31">
        <v>24.2</v>
      </c>
      <c r="J20" s="16" t="s">
        <v>40</v>
      </c>
    </row>
    <row r="21" spans="1:10">
      <c r="A21" s="19">
        <v>17</v>
      </c>
      <c r="B21" s="16" t="s">
        <v>575</v>
      </c>
      <c r="C21" s="16" t="s">
        <v>1070</v>
      </c>
      <c r="D21" s="24" t="s">
        <v>1071</v>
      </c>
      <c r="E21" s="25">
        <v>1033</v>
      </c>
      <c r="F21" s="26" t="s">
        <v>777</v>
      </c>
      <c r="G21" s="16" t="s">
        <v>778</v>
      </c>
      <c r="H21" s="31">
        <v>32.799999999999997</v>
      </c>
      <c r="I21" s="31">
        <v>41.7</v>
      </c>
      <c r="J21" s="16" t="s">
        <v>40</v>
      </c>
    </row>
    <row r="22" spans="1:10">
      <c r="A22" s="19">
        <v>18</v>
      </c>
      <c r="B22" s="16" t="s">
        <v>575</v>
      </c>
      <c r="C22" s="16" t="s">
        <v>1072</v>
      </c>
      <c r="D22" s="24" t="s">
        <v>1073</v>
      </c>
      <c r="E22" s="25">
        <v>437</v>
      </c>
      <c r="F22" s="26" t="s">
        <v>777</v>
      </c>
      <c r="G22" s="16" t="s">
        <v>778</v>
      </c>
      <c r="H22" s="31">
        <v>50</v>
      </c>
      <c r="I22" s="31">
        <v>63.7</v>
      </c>
      <c r="J22" s="16" t="s">
        <v>40</v>
      </c>
    </row>
    <row r="23" spans="1:10">
      <c r="A23" s="19">
        <v>19</v>
      </c>
      <c r="B23" s="16" t="s">
        <v>575</v>
      </c>
      <c r="C23" s="16" t="s">
        <v>1074</v>
      </c>
      <c r="D23" s="24" t="s">
        <v>1075</v>
      </c>
      <c r="E23" s="25">
        <v>1151</v>
      </c>
      <c r="F23" s="26" t="s">
        <v>777</v>
      </c>
      <c r="G23" s="16" t="s">
        <v>778</v>
      </c>
      <c r="H23" s="31">
        <v>60.8</v>
      </c>
      <c r="I23" s="31">
        <v>78.599999999999994</v>
      </c>
      <c r="J23" s="16" t="s">
        <v>40</v>
      </c>
    </row>
    <row r="24" spans="1:10">
      <c r="A24" s="19">
        <v>20</v>
      </c>
      <c r="B24" s="16" t="s">
        <v>575</v>
      </c>
      <c r="C24" s="16" t="s">
        <v>1076</v>
      </c>
      <c r="D24" s="24" t="s">
        <v>1077</v>
      </c>
      <c r="E24" s="25">
        <v>701</v>
      </c>
      <c r="F24" s="26" t="s">
        <v>777</v>
      </c>
      <c r="G24" s="16" t="s">
        <v>778</v>
      </c>
      <c r="H24" s="31">
        <v>55.5</v>
      </c>
      <c r="I24" s="31">
        <v>73</v>
      </c>
      <c r="J24" s="16" t="s">
        <v>40</v>
      </c>
    </row>
    <row r="25" spans="1:10">
      <c r="A25" s="19">
        <v>21</v>
      </c>
      <c r="B25" s="16" t="s">
        <v>575</v>
      </c>
      <c r="C25" s="16" t="s">
        <v>1078</v>
      </c>
      <c r="D25" s="24" t="s">
        <v>1079</v>
      </c>
      <c r="E25" s="25">
        <v>339</v>
      </c>
      <c r="F25" s="26" t="s">
        <v>777</v>
      </c>
      <c r="G25" s="16" t="s">
        <v>778</v>
      </c>
      <c r="H25" s="31">
        <v>48.6</v>
      </c>
      <c r="I25" s="31">
        <v>59.7</v>
      </c>
      <c r="J25" s="16" t="s">
        <v>40</v>
      </c>
    </row>
    <row r="26" spans="1:10">
      <c r="A26" s="19">
        <v>22</v>
      </c>
      <c r="B26" s="16" t="s">
        <v>575</v>
      </c>
      <c r="C26" s="16" t="s">
        <v>1080</v>
      </c>
      <c r="D26" s="24" t="s">
        <v>1081</v>
      </c>
      <c r="E26" s="25">
        <v>1313</v>
      </c>
      <c r="F26" s="26" t="s">
        <v>527</v>
      </c>
      <c r="G26" s="16" t="s">
        <v>528</v>
      </c>
      <c r="H26" s="31">
        <v>57.4</v>
      </c>
      <c r="I26" s="31">
        <v>64.7</v>
      </c>
      <c r="J26" s="16" t="s">
        <v>40</v>
      </c>
    </row>
    <row r="27" spans="1:10">
      <c r="A27" s="19">
        <v>23</v>
      </c>
      <c r="B27" s="16" t="s">
        <v>575</v>
      </c>
      <c r="C27" s="16" t="s">
        <v>1082</v>
      </c>
      <c r="D27" s="24" t="s">
        <v>1083</v>
      </c>
      <c r="E27" s="25">
        <v>1265</v>
      </c>
      <c r="F27" s="26" t="s">
        <v>777</v>
      </c>
      <c r="G27" s="16" t="s">
        <v>778</v>
      </c>
      <c r="H27" s="31">
        <v>51.3</v>
      </c>
      <c r="I27" s="31">
        <v>67</v>
      </c>
      <c r="J27" s="16" t="s">
        <v>40</v>
      </c>
    </row>
    <row r="28" spans="1:10">
      <c r="A28" s="19">
        <v>24</v>
      </c>
      <c r="B28" s="16" t="s">
        <v>575</v>
      </c>
      <c r="C28" s="16" t="s">
        <v>1084</v>
      </c>
      <c r="D28" s="24" t="s">
        <v>1085</v>
      </c>
      <c r="E28" s="25">
        <v>1272</v>
      </c>
      <c r="F28" s="26" t="s">
        <v>777</v>
      </c>
      <c r="G28" s="16" t="s">
        <v>778</v>
      </c>
      <c r="H28" s="31">
        <v>41.2</v>
      </c>
      <c r="I28" s="31">
        <v>51.5</v>
      </c>
      <c r="J28" s="16" t="s">
        <v>40</v>
      </c>
    </row>
    <row r="29" spans="1:10">
      <c r="A29" s="19">
        <v>25</v>
      </c>
      <c r="B29" s="16" t="s">
        <v>575</v>
      </c>
      <c r="C29" s="16" t="s">
        <v>1086</v>
      </c>
      <c r="D29" s="24" t="s">
        <v>1087</v>
      </c>
      <c r="E29" s="25">
        <v>533</v>
      </c>
      <c r="F29" s="26" t="s">
        <v>1088</v>
      </c>
      <c r="G29" s="16" t="s">
        <v>1089</v>
      </c>
      <c r="H29" s="31">
        <v>30.4</v>
      </c>
      <c r="I29" s="31">
        <v>35.700000000000003</v>
      </c>
      <c r="J29" s="16" t="s">
        <v>40</v>
      </c>
    </row>
    <row r="30" spans="1:10">
      <c r="A30" s="19">
        <v>26</v>
      </c>
      <c r="B30" s="16" t="s">
        <v>575</v>
      </c>
      <c r="C30" s="16" t="s">
        <v>1090</v>
      </c>
      <c r="D30" s="24" t="s">
        <v>1091</v>
      </c>
      <c r="E30" s="25">
        <v>2923</v>
      </c>
      <c r="F30" s="26" t="s">
        <v>482</v>
      </c>
      <c r="G30" s="16" t="s">
        <v>483</v>
      </c>
      <c r="H30" s="31">
        <v>49</v>
      </c>
      <c r="I30" s="31">
        <v>56.5</v>
      </c>
      <c r="J30" s="16" t="s">
        <v>40</v>
      </c>
    </row>
    <row r="31" spans="1:10">
      <c r="A31" s="19">
        <v>27</v>
      </c>
      <c r="B31" s="16" t="s">
        <v>575</v>
      </c>
      <c r="C31" s="16" t="s">
        <v>1092</v>
      </c>
      <c r="D31" s="24" t="s">
        <v>1093</v>
      </c>
      <c r="E31" s="25">
        <v>805</v>
      </c>
      <c r="F31" s="26" t="s">
        <v>527</v>
      </c>
      <c r="G31" s="16" t="s">
        <v>528</v>
      </c>
      <c r="H31" s="31">
        <v>56.8</v>
      </c>
      <c r="I31" s="31">
        <v>66.8</v>
      </c>
      <c r="J31" s="16" t="s">
        <v>40</v>
      </c>
    </row>
    <row r="32" spans="1:10">
      <c r="A32" s="19">
        <v>28</v>
      </c>
      <c r="B32" s="16" t="s">
        <v>575</v>
      </c>
      <c r="C32" s="16" t="s">
        <v>1094</v>
      </c>
      <c r="D32" s="24" t="s">
        <v>1095</v>
      </c>
      <c r="E32" s="25">
        <v>735</v>
      </c>
      <c r="F32" s="26" t="s">
        <v>1088</v>
      </c>
      <c r="G32" s="16" t="s">
        <v>1089</v>
      </c>
      <c r="H32" s="31">
        <v>35.4</v>
      </c>
      <c r="I32" s="31">
        <v>40.700000000000003</v>
      </c>
      <c r="J32" s="16" t="s">
        <v>40</v>
      </c>
    </row>
    <row r="33" spans="1:10">
      <c r="A33" s="19">
        <v>29</v>
      </c>
      <c r="B33" s="16" t="s">
        <v>1096</v>
      </c>
      <c r="C33" s="16" t="s">
        <v>1097</v>
      </c>
      <c r="D33" s="24"/>
      <c r="E33" s="25">
        <v>0</v>
      </c>
      <c r="F33" s="26" t="s">
        <v>527</v>
      </c>
      <c r="G33" s="16" t="s">
        <v>528</v>
      </c>
      <c r="H33" s="31">
        <v>57.8</v>
      </c>
      <c r="I33" s="31">
        <v>64.599999999999994</v>
      </c>
      <c r="J33" s="16" t="s">
        <v>40</v>
      </c>
    </row>
    <row r="34" spans="1:10">
      <c r="A34" s="19">
        <v>30</v>
      </c>
      <c r="B34" s="16" t="s">
        <v>1096</v>
      </c>
      <c r="C34" s="16" t="s">
        <v>1097</v>
      </c>
      <c r="D34" s="24"/>
      <c r="E34" s="25">
        <v>0</v>
      </c>
      <c r="F34" s="26" t="s">
        <v>527</v>
      </c>
      <c r="G34" s="16" t="s">
        <v>528</v>
      </c>
      <c r="H34" s="31">
        <v>55.6</v>
      </c>
      <c r="I34" s="31">
        <v>63.5</v>
      </c>
      <c r="J34" s="16" t="s">
        <v>40</v>
      </c>
    </row>
    <row r="35" spans="1:10">
      <c r="A35" s="19">
        <v>31</v>
      </c>
      <c r="B35" s="16" t="s">
        <v>575</v>
      </c>
      <c r="C35" s="16" t="s">
        <v>145</v>
      </c>
      <c r="D35" s="24" t="s">
        <v>1098</v>
      </c>
      <c r="E35" s="25">
        <v>584</v>
      </c>
      <c r="F35" s="26" t="s">
        <v>1088</v>
      </c>
      <c r="G35" s="16" t="s">
        <v>1089</v>
      </c>
      <c r="H35" s="31">
        <v>41.3</v>
      </c>
      <c r="I35" s="31">
        <v>46.5</v>
      </c>
      <c r="J35" s="16" t="s">
        <v>40</v>
      </c>
    </row>
    <row r="36" spans="1:10">
      <c r="A36" s="19">
        <v>32</v>
      </c>
      <c r="B36" s="16" t="s">
        <v>575</v>
      </c>
      <c r="C36" s="16" t="s">
        <v>1099</v>
      </c>
      <c r="D36" s="24" t="s">
        <v>1100</v>
      </c>
      <c r="E36" s="25">
        <v>5987</v>
      </c>
      <c r="F36" s="26" t="s">
        <v>527</v>
      </c>
      <c r="G36" s="16" t="s">
        <v>528</v>
      </c>
      <c r="H36" s="31">
        <v>57.2</v>
      </c>
      <c r="I36" s="31">
        <v>64.7</v>
      </c>
      <c r="J36" s="16" t="s">
        <v>40</v>
      </c>
    </row>
    <row r="37" spans="1:10">
      <c r="A37" s="19">
        <v>33</v>
      </c>
      <c r="B37" s="16" t="s">
        <v>575</v>
      </c>
      <c r="C37" s="16" t="s">
        <v>1101</v>
      </c>
      <c r="D37" s="24" t="s">
        <v>1102</v>
      </c>
      <c r="E37" s="25">
        <v>408</v>
      </c>
      <c r="F37" s="26" t="s">
        <v>527</v>
      </c>
      <c r="G37" s="16" t="s">
        <v>528</v>
      </c>
      <c r="H37" s="31">
        <v>61.6</v>
      </c>
      <c r="I37" s="31">
        <v>72.7</v>
      </c>
      <c r="J37" s="16" t="s">
        <v>40</v>
      </c>
    </row>
    <row r="38" spans="1:10">
      <c r="A38" s="19">
        <v>34</v>
      </c>
      <c r="B38" s="16" t="s">
        <v>575</v>
      </c>
      <c r="C38" s="16" t="s">
        <v>1103</v>
      </c>
      <c r="D38" s="24" t="s">
        <v>1104</v>
      </c>
      <c r="E38" s="25">
        <v>936</v>
      </c>
      <c r="F38" s="26" t="s">
        <v>527</v>
      </c>
      <c r="G38" s="16" t="s">
        <v>528</v>
      </c>
      <c r="H38" s="31">
        <v>50.9</v>
      </c>
      <c r="I38" s="31">
        <v>62.8</v>
      </c>
      <c r="J38" s="16" t="s">
        <v>40</v>
      </c>
    </row>
    <row r="39" spans="1:10">
      <c r="A39" s="19">
        <v>35</v>
      </c>
      <c r="B39" s="16" t="s">
        <v>575</v>
      </c>
      <c r="C39" s="16" t="s">
        <v>1105</v>
      </c>
      <c r="D39" s="24" t="s">
        <v>1106</v>
      </c>
      <c r="E39" s="25">
        <v>940</v>
      </c>
      <c r="F39" s="26" t="s">
        <v>1088</v>
      </c>
      <c r="G39" s="16" t="s">
        <v>1089</v>
      </c>
      <c r="H39" s="31">
        <v>31.6</v>
      </c>
      <c r="I39" s="31">
        <v>39.6</v>
      </c>
      <c r="J39" s="16" t="s">
        <v>40</v>
      </c>
    </row>
    <row r="40" spans="1:10">
      <c r="A40" s="19">
        <v>36</v>
      </c>
      <c r="B40" s="16" t="s">
        <v>575</v>
      </c>
      <c r="C40" s="16" t="s">
        <v>1107</v>
      </c>
      <c r="D40" s="24" t="s">
        <v>1108</v>
      </c>
      <c r="E40" s="25">
        <v>613</v>
      </c>
      <c r="F40" s="26" t="s">
        <v>527</v>
      </c>
      <c r="G40" s="16" t="s">
        <v>528</v>
      </c>
      <c r="H40" s="31">
        <v>63.7</v>
      </c>
      <c r="I40" s="31">
        <v>74.2</v>
      </c>
      <c r="J40" s="16" t="s">
        <v>40</v>
      </c>
    </row>
    <row r="41" spans="1:10">
      <c r="A41" s="19">
        <v>37</v>
      </c>
      <c r="B41" s="16" t="s">
        <v>575</v>
      </c>
      <c r="C41" s="16" t="s">
        <v>1109</v>
      </c>
      <c r="D41" s="24" t="s">
        <v>1110</v>
      </c>
      <c r="E41" s="25">
        <v>1044</v>
      </c>
      <c r="F41" s="26" t="s">
        <v>482</v>
      </c>
      <c r="G41" s="16" t="s">
        <v>483</v>
      </c>
      <c r="H41" s="31">
        <v>54.8</v>
      </c>
      <c r="I41" s="31">
        <v>61.2</v>
      </c>
      <c r="J41" s="16" t="s">
        <v>40</v>
      </c>
    </row>
    <row r="42" spans="1:10">
      <c r="A42" s="19">
        <v>38</v>
      </c>
      <c r="B42" s="16" t="s">
        <v>575</v>
      </c>
      <c r="C42" s="16" t="s">
        <v>1111</v>
      </c>
      <c r="D42" s="24" t="s">
        <v>1112</v>
      </c>
      <c r="E42" s="25">
        <v>1947</v>
      </c>
      <c r="F42" s="26" t="s">
        <v>482</v>
      </c>
      <c r="G42" s="16" t="s">
        <v>483</v>
      </c>
      <c r="H42" s="31">
        <v>50.8</v>
      </c>
      <c r="I42" s="31">
        <v>58.1</v>
      </c>
      <c r="J42" s="16" t="s">
        <v>40</v>
      </c>
    </row>
    <row r="43" spans="1:10">
      <c r="A43" s="19">
        <v>39</v>
      </c>
      <c r="B43" s="16" t="s">
        <v>1113</v>
      </c>
      <c r="C43" s="16" t="s">
        <v>475</v>
      </c>
      <c r="D43" s="24"/>
      <c r="E43" s="25">
        <v>0</v>
      </c>
      <c r="F43" s="26" t="s">
        <v>482</v>
      </c>
      <c r="G43" s="16" t="s">
        <v>483</v>
      </c>
      <c r="H43" s="31">
        <v>38.1</v>
      </c>
      <c r="I43" s="31">
        <v>45.6</v>
      </c>
      <c r="J43" s="16" t="s">
        <v>40</v>
      </c>
    </row>
    <row r="44" spans="1:10">
      <c r="A44" s="19">
        <v>40</v>
      </c>
      <c r="B44" s="16" t="s">
        <v>697</v>
      </c>
      <c r="C44" s="16" t="s">
        <v>1114</v>
      </c>
      <c r="D44" s="24" t="s">
        <v>1115</v>
      </c>
      <c r="E44" s="25">
        <v>545</v>
      </c>
      <c r="F44" s="26" t="s">
        <v>700</v>
      </c>
      <c r="G44" s="16" t="s">
        <v>701</v>
      </c>
      <c r="H44" s="31">
        <v>29.7</v>
      </c>
      <c r="I44" s="31">
        <v>35.1</v>
      </c>
      <c r="J44" s="16" t="s">
        <v>40</v>
      </c>
    </row>
    <row r="45" spans="1:10">
      <c r="A45" s="19">
        <v>41</v>
      </c>
      <c r="B45" s="16" t="s">
        <v>697</v>
      </c>
      <c r="C45" s="16" t="s">
        <v>1116</v>
      </c>
      <c r="D45" s="24" t="s">
        <v>1117</v>
      </c>
      <c r="E45" s="25">
        <v>681</v>
      </c>
      <c r="F45" s="26" t="s">
        <v>700</v>
      </c>
      <c r="G45" s="16" t="s">
        <v>701</v>
      </c>
      <c r="H45" s="31">
        <v>20.3</v>
      </c>
      <c r="I45" s="31">
        <v>26.7</v>
      </c>
      <c r="J45" s="16" t="s">
        <v>40</v>
      </c>
    </row>
    <row r="46" spans="1:10">
      <c r="A46" s="19">
        <v>42</v>
      </c>
      <c r="B46" s="16" t="s">
        <v>697</v>
      </c>
      <c r="C46" s="16" t="s">
        <v>985</v>
      </c>
      <c r="D46" s="24" t="s">
        <v>1118</v>
      </c>
      <c r="E46" s="25">
        <v>704</v>
      </c>
      <c r="F46" s="26" t="s">
        <v>700</v>
      </c>
      <c r="G46" s="16" t="s">
        <v>701</v>
      </c>
      <c r="H46" s="31">
        <v>27</v>
      </c>
      <c r="I46" s="31">
        <v>33.1</v>
      </c>
      <c r="J46" s="16" t="s">
        <v>40</v>
      </c>
    </row>
    <row r="47" spans="1:10">
      <c r="A47" s="19">
        <v>43</v>
      </c>
      <c r="B47" s="16" t="s">
        <v>697</v>
      </c>
      <c r="C47" s="16" t="s">
        <v>1119</v>
      </c>
      <c r="D47" s="24" t="s">
        <v>1120</v>
      </c>
      <c r="E47" s="25">
        <v>1177</v>
      </c>
      <c r="F47" s="26" t="s">
        <v>700</v>
      </c>
      <c r="G47" s="16" t="s">
        <v>701</v>
      </c>
      <c r="H47" s="31">
        <v>36.799999999999997</v>
      </c>
      <c r="I47" s="31">
        <v>45.4</v>
      </c>
      <c r="J47" s="16" t="s">
        <v>40</v>
      </c>
    </row>
    <row r="48" spans="1:10">
      <c r="A48" s="19">
        <v>44</v>
      </c>
      <c r="B48" s="16" t="s">
        <v>697</v>
      </c>
      <c r="C48" s="16" t="s">
        <v>1121</v>
      </c>
      <c r="D48" s="24" t="s">
        <v>1122</v>
      </c>
      <c r="E48" s="25">
        <v>1475</v>
      </c>
      <c r="F48" s="26" t="s">
        <v>700</v>
      </c>
      <c r="G48" s="16" t="s">
        <v>701</v>
      </c>
      <c r="H48" s="31">
        <v>32.9</v>
      </c>
      <c r="I48" s="31">
        <v>40.799999999999997</v>
      </c>
      <c r="J48" s="16" t="s">
        <v>40</v>
      </c>
    </row>
    <row r="49" spans="1:10">
      <c r="A49" s="19">
        <v>45</v>
      </c>
      <c r="B49" s="16" t="s">
        <v>697</v>
      </c>
      <c r="C49" s="16" t="s">
        <v>1123</v>
      </c>
      <c r="D49" s="24" t="s">
        <v>1124</v>
      </c>
      <c r="E49" s="25">
        <v>2232</v>
      </c>
      <c r="F49" s="26" t="s">
        <v>700</v>
      </c>
      <c r="G49" s="16" t="s">
        <v>701</v>
      </c>
      <c r="H49" s="31">
        <v>25.4</v>
      </c>
      <c r="I49" s="31">
        <v>33.700000000000003</v>
      </c>
      <c r="J49" s="16" t="s">
        <v>40</v>
      </c>
    </row>
    <row r="50" spans="1:10">
      <c r="A50" s="19">
        <v>46</v>
      </c>
      <c r="B50" s="16" t="s">
        <v>697</v>
      </c>
      <c r="C50" s="16" t="s">
        <v>822</v>
      </c>
      <c r="D50" s="24" t="s">
        <v>1125</v>
      </c>
      <c r="E50" s="25">
        <v>1004</v>
      </c>
      <c r="F50" s="26" t="s">
        <v>700</v>
      </c>
      <c r="G50" s="16" t="s">
        <v>701</v>
      </c>
      <c r="H50" s="31">
        <v>22.9</v>
      </c>
      <c r="I50" s="31">
        <v>26.6</v>
      </c>
      <c r="J50" s="16" t="s">
        <v>40</v>
      </c>
    </row>
    <row r="51" spans="1:10">
      <c r="A51" s="19">
        <v>47</v>
      </c>
      <c r="B51" s="16" t="s">
        <v>697</v>
      </c>
      <c r="C51" s="16" t="s">
        <v>1126</v>
      </c>
      <c r="D51" s="24" t="s">
        <v>1127</v>
      </c>
      <c r="E51" s="25">
        <v>880</v>
      </c>
      <c r="F51" s="26" t="s">
        <v>700</v>
      </c>
      <c r="G51" s="16" t="s">
        <v>701</v>
      </c>
      <c r="H51" s="31">
        <v>50</v>
      </c>
      <c r="I51" s="31">
        <v>60.7</v>
      </c>
      <c r="J51" s="16" t="s">
        <v>40</v>
      </c>
    </row>
    <row r="52" spans="1:10">
      <c r="A52" s="19">
        <v>48</v>
      </c>
      <c r="B52" s="16" t="s">
        <v>697</v>
      </c>
      <c r="C52" s="16" t="s">
        <v>1128</v>
      </c>
      <c r="D52" s="24" t="s">
        <v>1129</v>
      </c>
      <c r="E52" s="25">
        <v>1154</v>
      </c>
      <c r="F52" s="26" t="s">
        <v>700</v>
      </c>
      <c r="G52" s="16" t="s">
        <v>701</v>
      </c>
      <c r="H52" s="31">
        <v>45.2</v>
      </c>
      <c r="I52" s="31">
        <v>58.3</v>
      </c>
      <c r="J52" s="16" t="s">
        <v>40</v>
      </c>
    </row>
    <row r="53" spans="1:10">
      <c r="A53" s="19">
        <v>49</v>
      </c>
      <c r="B53" s="16" t="s">
        <v>697</v>
      </c>
      <c r="C53" s="16" t="s">
        <v>1130</v>
      </c>
      <c r="D53" s="24" t="s">
        <v>1131</v>
      </c>
      <c r="E53" s="25">
        <v>727</v>
      </c>
      <c r="F53" s="26" t="s">
        <v>700</v>
      </c>
      <c r="G53" s="16" t="s">
        <v>701</v>
      </c>
      <c r="H53" s="31">
        <v>27.6</v>
      </c>
      <c r="I53" s="31">
        <v>31.2</v>
      </c>
      <c r="J53" s="16" t="s">
        <v>40</v>
      </c>
    </row>
    <row r="54" spans="1:10">
      <c r="A54" s="19">
        <v>50</v>
      </c>
      <c r="B54" s="16" t="s">
        <v>697</v>
      </c>
      <c r="C54" s="16" t="s">
        <v>1132</v>
      </c>
      <c r="D54" s="24" t="s">
        <v>1133</v>
      </c>
      <c r="E54" s="25">
        <v>503</v>
      </c>
      <c r="F54" s="26" t="s">
        <v>700</v>
      </c>
      <c r="G54" s="16" t="s">
        <v>701</v>
      </c>
      <c r="H54" s="31">
        <v>38.799999999999997</v>
      </c>
      <c r="I54" s="31">
        <v>29.1</v>
      </c>
      <c r="J54" s="16" t="s">
        <v>293</v>
      </c>
    </row>
    <row r="55" spans="1:10">
      <c r="A55" s="19">
        <v>51</v>
      </c>
      <c r="B55" s="16" t="s">
        <v>697</v>
      </c>
      <c r="C55" s="16" t="s">
        <v>246</v>
      </c>
      <c r="D55" s="24" t="s">
        <v>1134</v>
      </c>
      <c r="E55" s="25">
        <v>914</v>
      </c>
      <c r="F55" s="26" t="s">
        <v>700</v>
      </c>
      <c r="G55" s="16" t="s">
        <v>701</v>
      </c>
      <c r="H55" s="31">
        <v>32.6</v>
      </c>
      <c r="I55" s="31">
        <v>39</v>
      </c>
      <c r="J55" s="16" t="s">
        <v>40</v>
      </c>
    </row>
    <row r="56" spans="1:10">
      <c r="A56" s="19">
        <v>52</v>
      </c>
      <c r="B56" s="16" t="s">
        <v>697</v>
      </c>
      <c r="C56" s="16" t="s">
        <v>1135</v>
      </c>
      <c r="D56" s="24" t="s">
        <v>1136</v>
      </c>
      <c r="E56" s="25">
        <v>1656</v>
      </c>
      <c r="F56" s="26" t="s">
        <v>700</v>
      </c>
      <c r="G56" s="16" t="s">
        <v>701</v>
      </c>
      <c r="H56" s="31">
        <v>42</v>
      </c>
      <c r="I56" s="31">
        <v>50.6</v>
      </c>
      <c r="J56" s="16" t="s">
        <v>40</v>
      </c>
    </row>
    <row r="57" spans="1:10">
      <c r="A57" s="19">
        <v>53</v>
      </c>
      <c r="B57" s="16" t="s">
        <v>697</v>
      </c>
      <c r="C57" s="16" t="s">
        <v>1137</v>
      </c>
      <c r="D57" s="24" t="s">
        <v>1138</v>
      </c>
      <c r="E57" s="25">
        <v>932</v>
      </c>
      <c r="F57" s="26" t="s">
        <v>700</v>
      </c>
      <c r="G57" s="16" t="s">
        <v>701</v>
      </c>
      <c r="H57" s="31">
        <v>40.799999999999997</v>
      </c>
      <c r="I57" s="31">
        <v>53.5</v>
      </c>
      <c r="J57" s="16" t="s">
        <v>40</v>
      </c>
    </row>
    <row r="58" spans="1:10">
      <c r="A58" s="19">
        <v>54</v>
      </c>
      <c r="B58" s="16" t="s">
        <v>726</v>
      </c>
      <c r="C58" s="16" t="s">
        <v>1139</v>
      </c>
      <c r="D58" s="24"/>
      <c r="E58" s="25">
        <v>0</v>
      </c>
      <c r="F58" s="26" t="s">
        <v>700</v>
      </c>
      <c r="G58" s="16" t="s">
        <v>701</v>
      </c>
      <c r="H58" s="31">
        <v>30.9</v>
      </c>
      <c r="I58" s="31">
        <v>40.9</v>
      </c>
      <c r="J58" s="16" t="s">
        <v>40</v>
      </c>
    </row>
    <row r="59" spans="1:10">
      <c r="A59" s="19">
        <v>55</v>
      </c>
      <c r="B59" s="16" t="s">
        <v>697</v>
      </c>
      <c r="C59" s="16" t="s">
        <v>1140</v>
      </c>
      <c r="D59" s="24" t="s">
        <v>1141</v>
      </c>
      <c r="E59" s="25">
        <v>562</v>
      </c>
      <c r="F59" s="26" t="s">
        <v>700</v>
      </c>
      <c r="G59" s="16" t="s">
        <v>701</v>
      </c>
      <c r="H59" s="31">
        <v>54.2</v>
      </c>
      <c r="I59" s="31">
        <v>64.8</v>
      </c>
      <c r="J59" s="16" t="s">
        <v>40</v>
      </c>
    </row>
    <row r="60" spans="1:10">
      <c r="A60" s="19">
        <v>56</v>
      </c>
      <c r="B60" s="16" t="s">
        <v>697</v>
      </c>
      <c r="C60" s="16" t="s">
        <v>1142</v>
      </c>
      <c r="D60" s="24" t="s">
        <v>1143</v>
      </c>
      <c r="E60" s="25">
        <v>1251</v>
      </c>
      <c r="F60" s="26" t="s">
        <v>700</v>
      </c>
      <c r="G60" s="16" t="s">
        <v>701</v>
      </c>
      <c r="H60" s="31">
        <v>33.299999999999997</v>
      </c>
      <c r="I60" s="31">
        <v>44</v>
      </c>
      <c r="J60" s="16" t="s">
        <v>40</v>
      </c>
    </row>
    <row r="61" spans="1:10">
      <c r="A61" s="19">
        <v>57</v>
      </c>
      <c r="B61" s="16" t="s">
        <v>697</v>
      </c>
      <c r="C61" s="16" t="s">
        <v>1144</v>
      </c>
      <c r="D61" s="24" t="s">
        <v>1145</v>
      </c>
      <c r="E61" s="25">
        <v>742</v>
      </c>
      <c r="F61" s="26" t="s">
        <v>700</v>
      </c>
      <c r="G61" s="16" t="s">
        <v>701</v>
      </c>
      <c r="H61" s="31">
        <v>20.100000000000001</v>
      </c>
      <c r="I61" s="31">
        <v>25.4</v>
      </c>
      <c r="J61" s="16" t="s">
        <v>40</v>
      </c>
    </row>
    <row r="62" spans="1:10">
      <c r="A62" s="19">
        <v>58</v>
      </c>
      <c r="B62" s="16" t="s">
        <v>697</v>
      </c>
      <c r="C62" s="16" t="s">
        <v>1146</v>
      </c>
      <c r="D62" s="24" t="s">
        <v>1147</v>
      </c>
      <c r="E62" s="25">
        <v>1623</v>
      </c>
      <c r="F62" s="26" t="s">
        <v>700</v>
      </c>
      <c r="G62" s="16" t="s">
        <v>701</v>
      </c>
      <c r="H62" s="31">
        <v>43.4</v>
      </c>
      <c r="I62" s="31">
        <v>53.9</v>
      </c>
      <c r="J62" s="16" t="s">
        <v>40</v>
      </c>
    </row>
    <row r="63" spans="1:10">
      <c r="A63" s="19">
        <v>59</v>
      </c>
      <c r="B63" s="16" t="s">
        <v>697</v>
      </c>
      <c r="C63" s="16" t="s">
        <v>160</v>
      </c>
      <c r="D63" s="24" t="s">
        <v>1148</v>
      </c>
      <c r="E63" s="25">
        <v>709</v>
      </c>
      <c r="F63" s="26" t="s">
        <v>700</v>
      </c>
      <c r="G63" s="16" t="s">
        <v>701</v>
      </c>
      <c r="H63" s="31">
        <v>23.9</v>
      </c>
      <c r="I63" s="31">
        <v>30.1</v>
      </c>
      <c r="J63" s="16" t="s">
        <v>40</v>
      </c>
    </row>
    <row r="64" spans="1:10">
      <c r="A64" s="19">
        <v>60</v>
      </c>
      <c r="B64" s="16" t="s">
        <v>697</v>
      </c>
      <c r="C64" s="16" t="s">
        <v>1149</v>
      </c>
      <c r="D64" s="24" t="s">
        <v>1150</v>
      </c>
      <c r="E64" s="25">
        <v>487</v>
      </c>
      <c r="F64" s="26" t="s">
        <v>700</v>
      </c>
      <c r="G64" s="16" t="s">
        <v>701</v>
      </c>
      <c r="H64" s="31">
        <v>28.6</v>
      </c>
      <c r="I64" s="31">
        <v>35.9</v>
      </c>
      <c r="J64" s="16" t="s">
        <v>40</v>
      </c>
    </row>
    <row r="65" spans="1:10">
      <c r="A65" s="19">
        <v>61</v>
      </c>
      <c r="B65" s="16" t="s">
        <v>697</v>
      </c>
      <c r="C65" s="16" t="s">
        <v>1151</v>
      </c>
      <c r="D65" s="24" t="s">
        <v>1152</v>
      </c>
      <c r="E65" s="25">
        <v>1314</v>
      </c>
      <c r="F65" s="26" t="s">
        <v>700</v>
      </c>
      <c r="G65" s="16" t="s">
        <v>701</v>
      </c>
      <c r="H65" s="31">
        <v>26.4</v>
      </c>
      <c r="I65" s="31">
        <v>33.200000000000003</v>
      </c>
      <c r="J65" s="16" t="s">
        <v>40</v>
      </c>
    </row>
    <row r="66" spans="1:10">
      <c r="A66" s="19">
        <v>62</v>
      </c>
      <c r="B66" s="16" t="s">
        <v>697</v>
      </c>
      <c r="C66" s="16" t="s">
        <v>1153</v>
      </c>
      <c r="D66" s="24" t="s">
        <v>1154</v>
      </c>
      <c r="E66" s="25">
        <v>530</v>
      </c>
      <c r="F66" s="26" t="s">
        <v>1088</v>
      </c>
      <c r="G66" s="16" t="s">
        <v>1089</v>
      </c>
      <c r="H66" s="31">
        <v>29.8</v>
      </c>
      <c r="I66" s="31">
        <v>36.6</v>
      </c>
      <c r="J66" s="16" t="s">
        <v>40</v>
      </c>
    </row>
    <row r="67" spans="1:10">
      <c r="A67" s="19">
        <v>63</v>
      </c>
      <c r="B67" s="16" t="s">
        <v>772</v>
      </c>
      <c r="C67" s="16" t="s">
        <v>1155</v>
      </c>
      <c r="D67" s="24" t="s">
        <v>1156</v>
      </c>
      <c r="E67" s="25">
        <v>1498</v>
      </c>
      <c r="F67" s="26" t="s">
        <v>777</v>
      </c>
      <c r="G67" s="16" t="s">
        <v>778</v>
      </c>
      <c r="H67" s="31">
        <v>58.1</v>
      </c>
      <c r="I67" s="31">
        <v>75.2</v>
      </c>
      <c r="J67" s="16" t="s">
        <v>40</v>
      </c>
    </row>
    <row r="68" spans="1:10">
      <c r="A68" s="19">
        <v>64</v>
      </c>
      <c r="B68" s="16" t="s">
        <v>772</v>
      </c>
      <c r="C68" s="16" t="s">
        <v>1157</v>
      </c>
      <c r="D68" s="24" t="s">
        <v>1158</v>
      </c>
      <c r="E68" s="25">
        <v>1365</v>
      </c>
      <c r="F68" s="26" t="s">
        <v>777</v>
      </c>
      <c r="G68" s="16" t="s">
        <v>778</v>
      </c>
      <c r="H68" s="31">
        <v>78.5</v>
      </c>
      <c r="I68" s="31">
        <v>99.5</v>
      </c>
      <c r="J68" s="16" t="s">
        <v>40</v>
      </c>
    </row>
    <row r="69" spans="1:10">
      <c r="A69" s="19">
        <v>65</v>
      </c>
      <c r="B69" s="16" t="s">
        <v>772</v>
      </c>
      <c r="C69" s="16" t="s">
        <v>1159</v>
      </c>
      <c r="D69" s="24" t="s">
        <v>1160</v>
      </c>
      <c r="E69" s="25">
        <v>1571</v>
      </c>
      <c r="F69" s="26" t="s">
        <v>777</v>
      </c>
      <c r="G69" s="16" t="s">
        <v>778</v>
      </c>
      <c r="H69" s="31">
        <v>37.700000000000003</v>
      </c>
      <c r="I69" s="31">
        <v>48.2</v>
      </c>
      <c r="J69" s="16" t="s">
        <v>40</v>
      </c>
    </row>
    <row r="70" spans="1:10">
      <c r="A70" s="19">
        <v>66</v>
      </c>
      <c r="B70" s="16" t="s">
        <v>772</v>
      </c>
      <c r="C70" s="16" t="s">
        <v>1161</v>
      </c>
      <c r="D70" s="24" t="s">
        <v>1162</v>
      </c>
      <c r="E70" s="25">
        <v>1011</v>
      </c>
      <c r="F70" s="26" t="s">
        <v>777</v>
      </c>
      <c r="G70" s="16" t="s">
        <v>778</v>
      </c>
      <c r="H70" s="31">
        <v>67.3</v>
      </c>
      <c r="I70" s="31">
        <v>86.9</v>
      </c>
      <c r="J70" s="16" t="s">
        <v>40</v>
      </c>
    </row>
    <row r="71" spans="1:10">
      <c r="A71" s="19">
        <v>67</v>
      </c>
      <c r="B71" s="16" t="s">
        <v>772</v>
      </c>
      <c r="C71" s="16" t="s">
        <v>1163</v>
      </c>
      <c r="D71" s="24" t="s">
        <v>1164</v>
      </c>
      <c r="E71" s="25">
        <v>1042</v>
      </c>
      <c r="F71" s="26" t="s">
        <v>777</v>
      </c>
      <c r="G71" s="16" t="s">
        <v>778</v>
      </c>
      <c r="H71" s="31">
        <v>51.7</v>
      </c>
      <c r="I71" s="31">
        <v>67</v>
      </c>
      <c r="J71" s="16" t="s">
        <v>40</v>
      </c>
    </row>
    <row r="72" spans="1:10">
      <c r="A72" s="19">
        <v>68</v>
      </c>
      <c r="B72" s="16" t="s">
        <v>772</v>
      </c>
      <c r="C72" s="16" t="s">
        <v>1165</v>
      </c>
      <c r="D72" s="24" t="s">
        <v>1166</v>
      </c>
      <c r="E72" s="25">
        <v>2077</v>
      </c>
      <c r="F72" s="26" t="s">
        <v>777</v>
      </c>
      <c r="G72" s="16" t="s">
        <v>778</v>
      </c>
      <c r="H72" s="31">
        <v>67.400000000000006</v>
      </c>
      <c r="I72" s="31">
        <v>82.4</v>
      </c>
      <c r="J72" s="16" t="s">
        <v>40</v>
      </c>
    </row>
    <row r="73" spans="1:10">
      <c r="A73" s="19">
        <v>69</v>
      </c>
      <c r="B73" s="16" t="s">
        <v>772</v>
      </c>
      <c r="C73" s="16" t="s">
        <v>1167</v>
      </c>
      <c r="D73" s="24" t="s">
        <v>1168</v>
      </c>
      <c r="E73" s="25">
        <v>1752</v>
      </c>
      <c r="F73" s="26" t="s">
        <v>777</v>
      </c>
      <c r="G73" s="16" t="s">
        <v>778</v>
      </c>
      <c r="H73" s="31">
        <v>48.3</v>
      </c>
      <c r="I73" s="31">
        <v>60.6</v>
      </c>
      <c r="J73" s="16" t="s">
        <v>40</v>
      </c>
    </row>
    <row r="74" spans="1:10">
      <c r="A74" s="19">
        <v>70</v>
      </c>
      <c r="B74" s="16" t="s">
        <v>772</v>
      </c>
      <c r="C74" s="16" t="s">
        <v>1169</v>
      </c>
      <c r="D74" s="24" t="s">
        <v>1170</v>
      </c>
      <c r="E74" s="25">
        <v>873</v>
      </c>
      <c r="F74" s="26" t="s">
        <v>777</v>
      </c>
      <c r="G74" s="16" t="s">
        <v>778</v>
      </c>
      <c r="H74" s="31">
        <v>55.3</v>
      </c>
      <c r="I74" s="31">
        <v>69.7</v>
      </c>
      <c r="J74" s="16" t="s">
        <v>40</v>
      </c>
    </row>
    <row r="75" spans="1:10">
      <c r="A75" s="19">
        <v>71</v>
      </c>
      <c r="B75" s="16" t="s">
        <v>772</v>
      </c>
      <c r="C75" s="16" t="s">
        <v>1171</v>
      </c>
      <c r="D75" s="24" t="s">
        <v>1172</v>
      </c>
      <c r="E75" s="25">
        <v>1128</v>
      </c>
      <c r="F75" s="26" t="s">
        <v>777</v>
      </c>
      <c r="G75" s="16" t="s">
        <v>778</v>
      </c>
      <c r="H75" s="31">
        <v>73.2</v>
      </c>
      <c r="I75" s="31">
        <v>95.2</v>
      </c>
      <c r="J75" s="16" t="s">
        <v>40</v>
      </c>
    </row>
    <row r="76" spans="1:10">
      <c r="A76" s="19">
        <v>72</v>
      </c>
      <c r="B76" s="16" t="s">
        <v>772</v>
      </c>
      <c r="C76" s="16" t="s">
        <v>1173</v>
      </c>
      <c r="D76" s="24" t="s">
        <v>1174</v>
      </c>
      <c r="E76" s="25">
        <v>762</v>
      </c>
      <c r="F76" s="26" t="s">
        <v>777</v>
      </c>
      <c r="G76" s="16" t="s">
        <v>778</v>
      </c>
      <c r="H76" s="31">
        <v>52.4</v>
      </c>
      <c r="I76" s="31">
        <v>64.8</v>
      </c>
      <c r="J76" s="16" t="s">
        <v>40</v>
      </c>
    </row>
    <row r="77" spans="1:10">
      <c r="A77" s="19">
        <v>73</v>
      </c>
      <c r="B77" s="16" t="s">
        <v>772</v>
      </c>
      <c r="C77" s="16" t="s">
        <v>1175</v>
      </c>
      <c r="D77" s="24" t="s">
        <v>1176</v>
      </c>
      <c r="E77" s="25">
        <v>426</v>
      </c>
      <c r="F77" s="26" t="s">
        <v>777</v>
      </c>
      <c r="G77" s="16" t="s">
        <v>778</v>
      </c>
      <c r="H77" s="31">
        <v>60.6</v>
      </c>
      <c r="I77" s="31">
        <v>75</v>
      </c>
      <c r="J77" s="16" t="s">
        <v>40</v>
      </c>
    </row>
    <row r="78" spans="1:10">
      <c r="A78" s="19">
        <v>74</v>
      </c>
      <c r="B78" s="16" t="s">
        <v>1177</v>
      </c>
      <c r="C78" s="16" t="s">
        <v>1178</v>
      </c>
      <c r="D78" s="24"/>
      <c r="E78" s="25">
        <v>0</v>
      </c>
      <c r="F78" s="26" t="s">
        <v>777</v>
      </c>
      <c r="G78" s="16" t="s">
        <v>778</v>
      </c>
      <c r="H78" s="31">
        <v>67.2</v>
      </c>
      <c r="I78" s="31">
        <v>87.7</v>
      </c>
      <c r="J78" s="16" t="s">
        <v>40</v>
      </c>
    </row>
    <row r="79" spans="1:10">
      <c r="A79" s="19">
        <v>75</v>
      </c>
      <c r="B79" s="16" t="s">
        <v>772</v>
      </c>
      <c r="C79" s="16" t="s">
        <v>1179</v>
      </c>
      <c r="D79" s="24" t="s">
        <v>1180</v>
      </c>
      <c r="E79" s="25">
        <v>581</v>
      </c>
      <c r="F79" s="26" t="s">
        <v>777</v>
      </c>
      <c r="G79" s="16" t="s">
        <v>778</v>
      </c>
      <c r="H79" s="31">
        <v>53.8</v>
      </c>
      <c r="I79" s="31">
        <v>69.599999999999994</v>
      </c>
      <c r="J79" s="16" t="s">
        <v>40</v>
      </c>
    </row>
    <row r="80" spans="1:10">
      <c r="A80" s="19">
        <v>76</v>
      </c>
      <c r="B80" s="16" t="s">
        <v>772</v>
      </c>
      <c r="C80" s="16" t="s">
        <v>778</v>
      </c>
      <c r="D80" s="24" t="s">
        <v>1181</v>
      </c>
      <c r="E80" s="25">
        <v>5187</v>
      </c>
      <c r="F80" s="26" t="s">
        <v>777</v>
      </c>
      <c r="G80" s="16" t="s">
        <v>778</v>
      </c>
      <c r="H80" s="31">
        <v>62.9</v>
      </c>
      <c r="I80" s="31">
        <v>80.5</v>
      </c>
      <c r="J80" s="16" t="s">
        <v>40</v>
      </c>
    </row>
    <row r="81" spans="1:10">
      <c r="A81" s="19">
        <v>77</v>
      </c>
      <c r="B81" s="16" t="s">
        <v>772</v>
      </c>
      <c r="C81" s="16" t="s">
        <v>1182</v>
      </c>
      <c r="D81" s="24" t="s">
        <v>1183</v>
      </c>
      <c r="E81" s="25">
        <v>3598</v>
      </c>
      <c r="F81" s="26" t="s">
        <v>777</v>
      </c>
      <c r="G81" s="16" t="s">
        <v>778</v>
      </c>
      <c r="H81" s="31">
        <v>41.1</v>
      </c>
      <c r="I81" s="31">
        <v>52.7</v>
      </c>
      <c r="J81" s="16" t="s">
        <v>40</v>
      </c>
    </row>
    <row r="82" spans="1:10">
      <c r="A82" s="19">
        <v>78</v>
      </c>
      <c r="B82" s="16" t="s">
        <v>772</v>
      </c>
      <c r="C82" s="16" t="s">
        <v>1184</v>
      </c>
      <c r="D82" s="24" t="s">
        <v>1185</v>
      </c>
      <c r="E82" s="25">
        <v>1082</v>
      </c>
      <c r="F82" s="26" t="s">
        <v>777</v>
      </c>
      <c r="G82" s="16" t="s">
        <v>778</v>
      </c>
      <c r="H82" s="31">
        <v>45.6</v>
      </c>
      <c r="I82" s="31">
        <v>59.7</v>
      </c>
      <c r="J82" s="16" t="s">
        <v>40</v>
      </c>
    </row>
    <row r="83" spans="1:10">
      <c r="A83" s="19">
        <v>79</v>
      </c>
      <c r="B83" s="16" t="s">
        <v>772</v>
      </c>
      <c r="C83" s="16" t="s">
        <v>1186</v>
      </c>
      <c r="D83" s="24" t="s">
        <v>1187</v>
      </c>
      <c r="E83" s="25">
        <v>999</v>
      </c>
      <c r="F83" s="26" t="s">
        <v>777</v>
      </c>
      <c r="G83" s="16" t="s">
        <v>778</v>
      </c>
      <c r="H83" s="31">
        <v>36.200000000000003</v>
      </c>
      <c r="I83" s="31">
        <v>45.9</v>
      </c>
      <c r="J83" s="16" t="s">
        <v>40</v>
      </c>
    </row>
    <row r="84" spans="1:10">
      <c r="A84" s="19">
        <v>80</v>
      </c>
      <c r="B84" s="16" t="s">
        <v>1188</v>
      </c>
      <c r="C84" s="16" t="s">
        <v>1189</v>
      </c>
      <c r="D84" s="24" t="s">
        <v>1190</v>
      </c>
      <c r="E84" s="25">
        <v>522</v>
      </c>
      <c r="F84" s="26" t="s">
        <v>1088</v>
      </c>
      <c r="G84" s="16" t="s">
        <v>1089</v>
      </c>
      <c r="H84" s="31">
        <v>21.7</v>
      </c>
      <c r="I84" s="31">
        <v>24.3</v>
      </c>
      <c r="J84" s="16" t="s">
        <v>40</v>
      </c>
    </row>
    <row r="85" spans="1:10">
      <c r="A85" s="19">
        <v>81</v>
      </c>
      <c r="B85" s="16" t="s">
        <v>1188</v>
      </c>
      <c r="C85" s="16" t="s">
        <v>1191</v>
      </c>
      <c r="D85" s="24" t="s">
        <v>1192</v>
      </c>
      <c r="E85" s="25">
        <v>2003</v>
      </c>
      <c r="F85" s="26" t="s">
        <v>1088</v>
      </c>
      <c r="G85" s="16" t="s">
        <v>1089</v>
      </c>
      <c r="H85" s="31">
        <v>19.100000000000001</v>
      </c>
      <c r="I85" s="31">
        <v>21.4</v>
      </c>
      <c r="J85" s="16" t="s">
        <v>40</v>
      </c>
    </row>
    <row r="86" spans="1:10">
      <c r="A86" s="19">
        <v>82</v>
      </c>
      <c r="B86" s="16" t="s">
        <v>1188</v>
      </c>
      <c r="C86" s="16" t="s">
        <v>1193</v>
      </c>
      <c r="D86" s="24" t="s">
        <v>1194</v>
      </c>
      <c r="E86" s="25">
        <v>1177</v>
      </c>
      <c r="F86" s="26" t="s">
        <v>1088</v>
      </c>
      <c r="G86" s="16" t="s">
        <v>1089</v>
      </c>
      <c r="H86" s="31">
        <v>21.7</v>
      </c>
      <c r="I86" s="31">
        <v>24.1</v>
      </c>
      <c r="J86" s="16" t="s">
        <v>40</v>
      </c>
    </row>
    <row r="87" spans="1:10">
      <c r="A87" s="19">
        <v>83</v>
      </c>
      <c r="B87" s="16" t="s">
        <v>1188</v>
      </c>
      <c r="C87" s="16" t="s">
        <v>1195</v>
      </c>
      <c r="D87" s="24" t="s">
        <v>1196</v>
      </c>
      <c r="E87" s="25">
        <v>1742</v>
      </c>
      <c r="F87" s="26" t="s">
        <v>1088</v>
      </c>
      <c r="G87" s="16" t="s">
        <v>1089</v>
      </c>
      <c r="H87" s="31">
        <v>22.6</v>
      </c>
      <c r="I87" s="31">
        <v>24.9</v>
      </c>
      <c r="J87" s="16" t="s">
        <v>40</v>
      </c>
    </row>
    <row r="88" spans="1:10">
      <c r="A88" s="19">
        <v>84</v>
      </c>
      <c r="B88" s="16" t="s">
        <v>1188</v>
      </c>
      <c r="C88" s="16" t="s">
        <v>1197</v>
      </c>
      <c r="D88" s="24" t="s">
        <v>1198</v>
      </c>
      <c r="E88" s="25">
        <v>2180</v>
      </c>
      <c r="F88" s="26" t="s">
        <v>1088</v>
      </c>
      <c r="G88" s="16" t="s">
        <v>1089</v>
      </c>
      <c r="H88" s="31">
        <v>16.8</v>
      </c>
      <c r="I88" s="31">
        <v>16</v>
      </c>
      <c r="J88" s="16" t="s">
        <v>40</v>
      </c>
    </row>
    <row r="89" spans="1:10">
      <c r="A89" s="19">
        <v>85</v>
      </c>
      <c r="B89" s="16" t="s">
        <v>1188</v>
      </c>
      <c r="C89" s="16" t="s">
        <v>1199</v>
      </c>
      <c r="D89" s="24" t="s">
        <v>1200</v>
      </c>
      <c r="E89" s="25">
        <v>579</v>
      </c>
      <c r="F89" s="26" t="s">
        <v>1088</v>
      </c>
      <c r="G89" s="16" t="s">
        <v>1089</v>
      </c>
      <c r="H89" s="31">
        <v>19.899999999999999</v>
      </c>
      <c r="I89" s="31">
        <v>23.9</v>
      </c>
      <c r="J89" s="16" t="s">
        <v>40</v>
      </c>
    </row>
    <row r="90" spans="1:10">
      <c r="A90" s="19">
        <v>86</v>
      </c>
      <c r="B90" s="16" t="s">
        <v>1188</v>
      </c>
      <c r="C90" s="16" t="s">
        <v>1201</v>
      </c>
      <c r="D90" s="24" t="s">
        <v>1202</v>
      </c>
      <c r="E90" s="25">
        <v>941</v>
      </c>
      <c r="F90" s="26" t="s">
        <v>1088</v>
      </c>
      <c r="G90" s="16" t="s">
        <v>1089</v>
      </c>
      <c r="H90" s="31">
        <v>24.7</v>
      </c>
      <c r="I90" s="31">
        <v>28.4</v>
      </c>
      <c r="J90" s="16" t="s">
        <v>40</v>
      </c>
    </row>
    <row r="91" spans="1:10">
      <c r="A91" s="19">
        <v>87</v>
      </c>
      <c r="B91" s="16" t="s">
        <v>1188</v>
      </c>
      <c r="C91" s="16" t="s">
        <v>1203</v>
      </c>
      <c r="D91" s="24" t="s">
        <v>1204</v>
      </c>
      <c r="E91" s="25">
        <v>788</v>
      </c>
      <c r="F91" s="26" t="s">
        <v>1088</v>
      </c>
      <c r="G91" s="16" t="s">
        <v>1089</v>
      </c>
      <c r="H91" s="31">
        <v>17.3</v>
      </c>
      <c r="I91" s="31">
        <v>19.5</v>
      </c>
      <c r="J91" s="16" t="s">
        <v>40</v>
      </c>
    </row>
    <row r="92" spans="1:10">
      <c r="A92" s="19">
        <v>88</v>
      </c>
      <c r="B92" s="16" t="s">
        <v>1188</v>
      </c>
      <c r="C92" s="16" t="s">
        <v>1205</v>
      </c>
      <c r="D92" s="24" t="s">
        <v>1206</v>
      </c>
      <c r="E92" s="25">
        <v>540</v>
      </c>
      <c r="F92" s="26" t="s">
        <v>1088</v>
      </c>
      <c r="G92" s="16" t="s">
        <v>1089</v>
      </c>
      <c r="H92" s="31">
        <v>23.2</v>
      </c>
      <c r="I92" s="31">
        <v>28.2</v>
      </c>
      <c r="J92" s="16" t="s">
        <v>40</v>
      </c>
    </row>
    <row r="93" spans="1:10">
      <c r="A93" s="19">
        <v>89</v>
      </c>
      <c r="B93" s="16" t="s">
        <v>1188</v>
      </c>
      <c r="C93" s="16" t="s">
        <v>1207</v>
      </c>
      <c r="D93" s="24" t="s">
        <v>1208</v>
      </c>
      <c r="E93" s="25">
        <v>2023</v>
      </c>
      <c r="F93" s="26" t="s">
        <v>1088</v>
      </c>
      <c r="G93" s="16" t="s">
        <v>1089</v>
      </c>
      <c r="H93" s="31">
        <v>37.4</v>
      </c>
      <c r="I93" s="31">
        <v>44.2</v>
      </c>
      <c r="J93" s="16" t="s">
        <v>40</v>
      </c>
    </row>
    <row r="94" spans="1:10">
      <c r="A94" s="19">
        <v>90</v>
      </c>
      <c r="B94" s="16" t="s">
        <v>1188</v>
      </c>
      <c r="C94" s="16" t="s">
        <v>1209</v>
      </c>
      <c r="D94" s="24" t="s">
        <v>1210</v>
      </c>
      <c r="E94" s="25">
        <v>1241</v>
      </c>
      <c r="F94" s="26" t="s">
        <v>1088</v>
      </c>
      <c r="G94" s="16" t="s">
        <v>1089</v>
      </c>
      <c r="H94" s="31">
        <v>6.4</v>
      </c>
      <c r="I94" s="31">
        <v>6.9</v>
      </c>
      <c r="J94" s="16" t="s">
        <v>40</v>
      </c>
    </row>
    <row r="95" spans="1:10">
      <c r="A95" s="19">
        <v>91</v>
      </c>
      <c r="B95" s="16" t="s">
        <v>1188</v>
      </c>
      <c r="C95" s="16" t="s">
        <v>1211</v>
      </c>
      <c r="D95" s="24" t="s">
        <v>1212</v>
      </c>
      <c r="E95" s="25">
        <v>1004</v>
      </c>
      <c r="F95" s="26" t="s">
        <v>1088</v>
      </c>
      <c r="G95" s="16" t="s">
        <v>1089</v>
      </c>
      <c r="H95" s="31">
        <v>13.9</v>
      </c>
      <c r="I95" s="31">
        <v>14.7</v>
      </c>
      <c r="J95" s="16" t="s">
        <v>40</v>
      </c>
    </row>
    <row r="96" spans="1:10">
      <c r="A96" s="19">
        <v>92</v>
      </c>
      <c r="B96" s="16" t="s">
        <v>1188</v>
      </c>
      <c r="C96" s="16" t="s">
        <v>1009</v>
      </c>
      <c r="D96" s="24" t="s">
        <v>1213</v>
      </c>
      <c r="E96" s="25">
        <v>464</v>
      </c>
      <c r="F96" s="26" t="s">
        <v>1088</v>
      </c>
      <c r="G96" s="16" t="s">
        <v>1089</v>
      </c>
      <c r="H96" s="31">
        <v>9</v>
      </c>
      <c r="I96" s="31">
        <v>11.9</v>
      </c>
      <c r="J96" s="16" t="s">
        <v>40</v>
      </c>
    </row>
    <row r="97" spans="1:10">
      <c r="A97" s="19">
        <v>93</v>
      </c>
      <c r="B97" s="16" t="s">
        <v>1188</v>
      </c>
      <c r="C97" s="16" t="s">
        <v>1214</v>
      </c>
      <c r="D97" s="24" t="s">
        <v>1215</v>
      </c>
      <c r="E97" s="25">
        <v>391</v>
      </c>
      <c r="F97" s="26" t="s">
        <v>1088</v>
      </c>
      <c r="G97" s="16" t="s">
        <v>1089</v>
      </c>
      <c r="H97" s="31">
        <v>13.6</v>
      </c>
      <c r="I97" s="31">
        <v>17</v>
      </c>
      <c r="J97" s="16" t="s">
        <v>40</v>
      </c>
    </row>
    <row r="98" spans="1:10">
      <c r="A98" s="19">
        <v>94</v>
      </c>
      <c r="B98" s="16" t="s">
        <v>1188</v>
      </c>
      <c r="C98" s="16" t="s">
        <v>1216</v>
      </c>
      <c r="D98" s="24" t="s">
        <v>1217</v>
      </c>
      <c r="E98" s="25">
        <v>2342</v>
      </c>
      <c r="F98" s="26" t="s">
        <v>1088</v>
      </c>
      <c r="G98" s="16" t="s">
        <v>1089</v>
      </c>
      <c r="H98" s="31">
        <v>8.3000000000000007</v>
      </c>
      <c r="I98" s="31">
        <v>8.8000000000000007</v>
      </c>
      <c r="J98" s="16" t="s">
        <v>40</v>
      </c>
    </row>
    <row r="99" spans="1:10">
      <c r="A99" s="19">
        <v>95</v>
      </c>
      <c r="B99" s="16" t="s">
        <v>1188</v>
      </c>
      <c r="C99" s="16" t="s">
        <v>1218</v>
      </c>
      <c r="D99" s="24" t="s">
        <v>1219</v>
      </c>
      <c r="E99" s="25">
        <v>957</v>
      </c>
      <c r="F99" s="26" t="s">
        <v>1088</v>
      </c>
      <c r="G99" s="16" t="s">
        <v>1089</v>
      </c>
      <c r="H99" s="31">
        <v>19.8</v>
      </c>
      <c r="I99" s="31">
        <v>19.7</v>
      </c>
      <c r="J99" s="16" t="s">
        <v>40</v>
      </c>
    </row>
    <row r="100" spans="1:10">
      <c r="A100" s="19">
        <v>96</v>
      </c>
      <c r="B100" s="16" t="s">
        <v>1188</v>
      </c>
      <c r="C100" s="16" t="s">
        <v>1220</v>
      </c>
      <c r="D100" s="24" t="s">
        <v>1221</v>
      </c>
      <c r="E100" s="25">
        <v>831</v>
      </c>
      <c r="F100" s="26" t="s">
        <v>1088</v>
      </c>
      <c r="G100" s="16" t="s">
        <v>1089</v>
      </c>
      <c r="H100" s="31">
        <v>17.5</v>
      </c>
      <c r="I100" s="31">
        <v>21.9</v>
      </c>
      <c r="J100" s="16" t="s">
        <v>40</v>
      </c>
    </row>
    <row r="101" spans="1:10">
      <c r="A101" s="19">
        <v>97</v>
      </c>
      <c r="B101" s="16" t="s">
        <v>1188</v>
      </c>
      <c r="C101" s="16" t="s">
        <v>1222</v>
      </c>
      <c r="D101" s="24" t="s">
        <v>1223</v>
      </c>
      <c r="E101" s="25">
        <v>958</v>
      </c>
      <c r="F101" s="26" t="s">
        <v>1088</v>
      </c>
      <c r="G101" s="16" t="s">
        <v>1089</v>
      </c>
      <c r="H101" s="31">
        <v>14.5</v>
      </c>
      <c r="I101" s="31">
        <v>14.7</v>
      </c>
      <c r="J101" s="16" t="s">
        <v>40</v>
      </c>
    </row>
    <row r="102" spans="1:10">
      <c r="A102" s="19">
        <v>98</v>
      </c>
      <c r="B102" s="16" t="s">
        <v>1188</v>
      </c>
      <c r="C102" s="16" t="s">
        <v>1224</v>
      </c>
      <c r="D102" s="24" t="s">
        <v>1225</v>
      </c>
      <c r="E102" s="25">
        <v>1205</v>
      </c>
      <c r="F102" s="26" t="s">
        <v>1088</v>
      </c>
      <c r="G102" s="16" t="s">
        <v>1089</v>
      </c>
      <c r="H102" s="31">
        <v>24</v>
      </c>
      <c r="I102" s="31">
        <v>29.9</v>
      </c>
      <c r="J102" s="16" t="s">
        <v>40</v>
      </c>
    </row>
    <row r="103" spans="1:10">
      <c r="A103" s="19">
        <v>99</v>
      </c>
      <c r="B103" s="16" t="s">
        <v>1188</v>
      </c>
      <c r="C103" s="16" t="s">
        <v>1226</v>
      </c>
      <c r="D103" s="24" t="s">
        <v>1227</v>
      </c>
      <c r="E103" s="25">
        <v>1638</v>
      </c>
      <c r="F103" s="26" t="s">
        <v>1088</v>
      </c>
      <c r="G103" s="16" t="s">
        <v>1089</v>
      </c>
      <c r="H103" s="31">
        <v>19.600000000000001</v>
      </c>
      <c r="I103" s="31">
        <v>20.6</v>
      </c>
      <c r="J103" s="16" t="s">
        <v>40</v>
      </c>
    </row>
    <row r="104" spans="1:10">
      <c r="A104" s="19">
        <v>100</v>
      </c>
      <c r="B104" s="16" t="s">
        <v>1188</v>
      </c>
      <c r="C104" s="16" t="s">
        <v>1228</v>
      </c>
      <c r="D104" s="24" t="s">
        <v>1229</v>
      </c>
      <c r="E104" s="25">
        <v>1194</v>
      </c>
      <c r="F104" s="26" t="s">
        <v>1088</v>
      </c>
      <c r="G104" s="16" t="s">
        <v>1089</v>
      </c>
      <c r="H104" s="31">
        <v>15.2</v>
      </c>
      <c r="I104" s="31">
        <v>19.8</v>
      </c>
      <c r="J104" s="16" t="s">
        <v>40</v>
      </c>
    </row>
    <row r="105" spans="1:10">
      <c r="A105" s="19">
        <v>101</v>
      </c>
      <c r="B105" s="16" t="s">
        <v>1188</v>
      </c>
      <c r="C105" s="16" t="s">
        <v>1230</v>
      </c>
      <c r="D105" s="24" t="s">
        <v>1231</v>
      </c>
      <c r="E105" s="25">
        <v>2135</v>
      </c>
      <c r="F105" s="26" t="s">
        <v>1088</v>
      </c>
      <c r="G105" s="16" t="s">
        <v>1089</v>
      </c>
      <c r="H105" s="31">
        <v>20</v>
      </c>
      <c r="I105" s="31">
        <v>25.7</v>
      </c>
      <c r="J105" s="16" t="s">
        <v>40</v>
      </c>
    </row>
    <row r="106" spans="1:10">
      <c r="A106" s="19">
        <v>102</v>
      </c>
      <c r="B106" s="16" t="s">
        <v>1188</v>
      </c>
      <c r="C106" s="16" t="s">
        <v>1232</v>
      </c>
      <c r="D106" s="24" t="s">
        <v>1233</v>
      </c>
      <c r="E106" s="25">
        <v>1399</v>
      </c>
      <c r="F106" s="26" t="s">
        <v>1088</v>
      </c>
      <c r="G106" s="16" t="s">
        <v>1089</v>
      </c>
      <c r="H106" s="31">
        <v>7.4</v>
      </c>
      <c r="I106" s="31">
        <v>9.6999999999999993</v>
      </c>
      <c r="J106" s="16" t="s">
        <v>40</v>
      </c>
    </row>
    <row r="107" spans="1:10">
      <c r="A107" s="19">
        <v>103</v>
      </c>
      <c r="B107" s="16" t="s">
        <v>1188</v>
      </c>
      <c r="C107" s="16" t="s">
        <v>1234</v>
      </c>
      <c r="D107" s="24" t="s">
        <v>1235</v>
      </c>
      <c r="E107" s="25">
        <v>442</v>
      </c>
      <c r="F107" s="26" t="s">
        <v>1088</v>
      </c>
      <c r="G107" s="16" t="s">
        <v>1089</v>
      </c>
      <c r="H107" s="31">
        <v>21</v>
      </c>
      <c r="I107" s="31">
        <v>25.3</v>
      </c>
      <c r="J107" s="16" t="s">
        <v>40</v>
      </c>
    </row>
    <row r="108" spans="1:10">
      <c r="A108" s="19">
        <v>104</v>
      </c>
      <c r="B108" s="16" t="s">
        <v>1188</v>
      </c>
      <c r="C108" s="16" t="s">
        <v>1236</v>
      </c>
      <c r="D108" s="24" t="s">
        <v>1237</v>
      </c>
      <c r="E108" s="25">
        <v>667</v>
      </c>
      <c r="F108" s="26" t="s">
        <v>1088</v>
      </c>
      <c r="G108" s="16" t="s">
        <v>1089</v>
      </c>
      <c r="H108" s="31">
        <v>7.7</v>
      </c>
      <c r="I108" s="31">
        <v>7.7</v>
      </c>
      <c r="J108" s="16" t="s">
        <v>40</v>
      </c>
    </row>
    <row r="109" spans="1:10">
      <c r="A109" s="19">
        <v>105</v>
      </c>
      <c r="B109" s="16" t="s">
        <v>1188</v>
      </c>
      <c r="C109" s="16" t="s">
        <v>1238</v>
      </c>
      <c r="D109" s="24" t="s">
        <v>1239</v>
      </c>
      <c r="E109" s="25">
        <v>671</v>
      </c>
      <c r="F109" s="26" t="s">
        <v>1088</v>
      </c>
      <c r="G109" s="16" t="s">
        <v>1089</v>
      </c>
      <c r="H109" s="31">
        <v>13.5</v>
      </c>
      <c r="I109" s="31">
        <v>13.2</v>
      </c>
      <c r="J109" s="16" t="s">
        <v>40</v>
      </c>
    </row>
    <row r="110" spans="1:10">
      <c r="A110" s="19">
        <v>106</v>
      </c>
      <c r="B110" s="16" t="s">
        <v>1188</v>
      </c>
      <c r="C110" s="16" t="s">
        <v>1240</v>
      </c>
      <c r="D110" s="24" t="s">
        <v>1241</v>
      </c>
      <c r="E110" s="25">
        <v>360</v>
      </c>
      <c r="F110" s="26" t="s">
        <v>1088</v>
      </c>
      <c r="G110" s="16" t="s">
        <v>1089</v>
      </c>
      <c r="H110" s="31">
        <v>22.8</v>
      </c>
      <c r="I110" s="31">
        <v>27.2</v>
      </c>
      <c r="J110" s="16" t="s">
        <v>40</v>
      </c>
    </row>
    <row r="111" spans="1:10">
      <c r="A111" s="19">
        <v>107</v>
      </c>
      <c r="B111" s="16" t="s">
        <v>1188</v>
      </c>
      <c r="C111" s="16" t="s">
        <v>1089</v>
      </c>
      <c r="D111" s="24" t="s">
        <v>1242</v>
      </c>
      <c r="E111" s="25">
        <v>21135</v>
      </c>
      <c r="F111" s="26" t="s">
        <v>1088</v>
      </c>
      <c r="G111" s="16" t="s">
        <v>1089</v>
      </c>
      <c r="H111" s="31">
        <v>0</v>
      </c>
      <c r="I111" s="31">
        <v>0</v>
      </c>
      <c r="J111" s="16" t="s">
        <v>40</v>
      </c>
    </row>
    <row r="112" spans="1:10">
      <c r="A112" s="19">
        <v>108</v>
      </c>
      <c r="B112" s="16" t="s">
        <v>1188</v>
      </c>
      <c r="C112" s="16" t="s">
        <v>1243</v>
      </c>
      <c r="D112" s="24" t="s">
        <v>1244</v>
      </c>
      <c r="E112" s="25">
        <v>1762</v>
      </c>
      <c r="F112" s="26" t="s">
        <v>1088</v>
      </c>
      <c r="G112" s="16" t="s">
        <v>1089</v>
      </c>
      <c r="H112" s="31">
        <v>14.6</v>
      </c>
      <c r="I112" s="31">
        <v>18.5</v>
      </c>
      <c r="J112" s="16" t="s">
        <v>40</v>
      </c>
    </row>
    <row r="113" spans="1:10">
      <c r="A113" s="19">
        <v>109</v>
      </c>
      <c r="B113" s="16" t="s">
        <v>1188</v>
      </c>
      <c r="C113" s="16" t="s">
        <v>1245</v>
      </c>
      <c r="D113" s="24" t="s">
        <v>1246</v>
      </c>
      <c r="E113" s="25">
        <v>542</v>
      </c>
      <c r="F113" s="26" t="s">
        <v>1088</v>
      </c>
      <c r="G113" s="16" t="s">
        <v>1089</v>
      </c>
      <c r="H113" s="31">
        <v>14.4</v>
      </c>
      <c r="I113" s="31">
        <v>18.3</v>
      </c>
      <c r="J113" s="16" t="s">
        <v>40</v>
      </c>
    </row>
    <row r="114" spans="1:10">
      <c r="A114" s="19">
        <v>110</v>
      </c>
      <c r="B114" s="16" t="s">
        <v>1188</v>
      </c>
      <c r="C114" s="16" t="s">
        <v>1247</v>
      </c>
      <c r="D114" s="24" t="s">
        <v>1248</v>
      </c>
      <c r="E114" s="25">
        <v>783</v>
      </c>
      <c r="F114" s="26" t="s">
        <v>1088</v>
      </c>
      <c r="G114" s="16" t="s">
        <v>1089</v>
      </c>
      <c r="H114" s="31">
        <v>32</v>
      </c>
      <c r="I114" s="31">
        <v>38.6</v>
      </c>
      <c r="J114" s="16" t="s">
        <v>40</v>
      </c>
    </row>
    <row r="115" spans="1:10">
      <c r="A115" s="19">
        <v>111</v>
      </c>
      <c r="B115" s="16" t="s">
        <v>1188</v>
      </c>
      <c r="C115" s="16" t="s">
        <v>1249</v>
      </c>
      <c r="D115" s="24" t="s">
        <v>1250</v>
      </c>
      <c r="E115" s="25">
        <v>691</v>
      </c>
      <c r="F115" s="26" t="s">
        <v>1088</v>
      </c>
      <c r="G115" s="16" t="s">
        <v>1089</v>
      </c>
      <c r="H115" s="31">
        <v>13.8</v>
      </c>
      <c r="I115" s="31">
        <v>14.8</v>
      </c>
      <c r="J115" s="16" t="s">
        <v>40</v>
      </c>
    </row>
    <row r="116" spans="1:10">
      <c r="A116" s="19">
        <v>112</v>
      </c>
      <c r="B116" s="16" t="s">
        <v>1188</v>
      </c>
      <c r="C116" s="16" t="s">
        <v>1251</v>
      </c>
      <c r="D116" s="24" t="s">
        <v>1252</v>
      </c>
      <c r="E116" s="25">
        <v>630</v>
      </c>
      <c r="F116" s="26" t="s">
        <v>1088</v>
      </c>
      <c r="G116" s="16" t="s">
        <v>1089</v>
      </c>
      <c r="H116" s="31">
        <v>16</v>
      </c>
      <c r="I116" s="31">
        <v>13.5</v>
      </c>
      <c r="J116" s="16" t="s">
        <v>40</v>
      </c>
    </row>
    <row r="117" spans="1:10">
      <c r="A117" s="19">
        <v>113</v>
      </c>
      <c r="B117" s="16" t="s">
        <v>1188</v>
      </c>
      <c r="C117" s="16" t="s">
        <v>1253</v>
      </c>
      <c r="D117" s="24" t="s">
        <v>1254</v>
      </c>
      <c r="E117" s="25">
        <v>1165</v>
      </c>
      <c r="F117" s="26" t="s">
        <v>1088</v>
      </c>
      <c r="G117" s="16" t="s">
        <v>1089</v>
      </c>
      <c r="H117" s="31">
        <v>28</v>
      </c>
      <c r="I117" s="31">
        <v>31.9</v>
      </c>
      <c r="J117" s="16" t="s">
        <v>40</v>
      </c>
    </row>
    <row r="118" spans="1:10">
      <c r="A118" s="19">
        <v>114</v>
      </c>
      <c r="B118" s="16" t="s">
        <v>1188</v>
      </c>
      <c r="C118" s="16" t="s">
        <v>1255</v>
      </c>
      <c r="D118" s="24" t="s">
        <v>1256</v>
      </c>
      <c r="E118" s="25">
        <v>1507</v>
      </c>
      <c r="F118" s="26" t="s">
        <v>1088</v>
      </c>
      <c r="G118" s="16" t="s">
        <v>1089</v>
      </c>
      <c r="H118" s="31">
        <v>3.3</v>
      </c>
      <c r="I118" s="31">
        <v>3.6</v>
      </c>
      <c r="J118" s="16" t="s">
        <v>40</v>
      </c>
    </row>
    <row r="119" spans="1:10">
      <c r="A119" s="19">
        <v>115</v>
      </c>
      <c r="B119" s="16" t="s">
        <v>1257</v>
      </c>
      <c r="C119" s="16" t="s">
        <v>1258</v>
      </c>
      <c r="D119" s="24" t="s">
        <v>1259</v>
      </c>
      <c r="E119" s="25">
        <v>901</v>
      </c>
      <c r="F119" s="26" t="s">
        <v>700</v>
      </c>
      <c r="G119" s="16" t="s">
        <v>701</v>
      </c>
      <c r="H119" s="31">
        <v>49.4</v>
      </c>
      <c r="I119" s="31">
        <v>63.7</v>
      </c>
      <c r="J119" s="16" t="s">
        <v>40</v>
      </c>
    </row>
    <row r="120" spans="1:10">
      <c r="A120" s="19">
        <v>116</v>
      </c>
      <c r="B120" s="16" t="s">
        <v>1257</v>
      </c>
      <c r="C120" s="16" t="s">
        <v>1260</v>
      </c>
      <c r="D120" s="24" t="s">
        <v>1261</v>
      </c>
      <c r="E120" s="25">
        <v>1514</v>
      </c>
      <c r="F120" s="26" t="s">
        <v>700</v>
      </c>
      <c r="G120" s="16" t="s">
        <v>701</v>
      </c>
      <c r="H120" s="31">
        <v>50.9</v>
      </c>
      <c r="I120" s="31">
        <v>61.2</v>
      </c>
      <c r="J120" s="16" t="s">
        <v>40</v>
      </c>
    </row>
    <row r="121" spans="1:10">
      <c r="A121" s="19">
        <v>117</v>
      </c>
      <c r="B121" s="16" t="s">
        <v>1257</v>
      </c>
      <c r="C121" s="16" t="s">
        <v>1262</v>
      </c>
      <c r="D121" s="24" t="s">
        <v>1263</v>
      </c>
      <c r="E121" s="25">
        <v>776</v>
      </c>
      <c r="F121" s="26" t="s">
        <v>700</v>
      </c>
      <c r="G121" s="16" t="s">
        <v>701</v>
      </c>
      <c r="H121" s="31">
        <v>72.099999999999994</v>
      </c>
      <c r="I121" s="31">
        <v>82.3</v>
      </c>
      <c r="J121" s="16" t="s">
        <v>40</v>
      </c>
    </row>
    <row r="122" spans="1:10">
      <c r="A122" s="19">
        <v>118</v>
      </c>
      <c r="B122" s="16" t="s">
        <v>1257</v>
      </c>
      <c r="C122" s="16" t="s">
        <v>1264</v>
      </c>
      <c r="D122" s="24" t="s">
        <v>1265</v>
      </c>
      <c r="E122" s="25">
        <v>2169</v>
      </c>
      <c r="F122" s="26" t="s">
        <v>700</v>
      </c>
      <c r="G122" s="16" t="s">
        <v>701</v>
      </c>
      <c r="H122" s="31">
        <v>44</v>
      </c>
      <c r="I122" s="31">
        <v>56.3</v>
      </c>
      <c r="J122" s="16" t="s">
        <v>40</v>
      </c>
    </row>
    <row r="123" spans="1:10">
      <c r="A123" s="19">
        <v>119</v>
      </c>
      <c r="B123" s="16" t="s">
        <v>1257</v>
      </c>
      <c r="C123" s="16" t="s">
        <v>1266</v>
      </c>
      <c r="D123" s="24" t="s">
        <v>1267</v>
      </c>
      <c r="E123" s="25">
        <v>881</v>
      </c>
      <c r="F123" s="26" t="s">
        <v>700</v>
      </c>
      <c r="G123" s="16" t="s">
        <v>701</v>
      </c>
      <c r="H123" s="31">
        <v>45</v>
      </c>
      <c r="I123" s="31">
        <v>58.4</v>
      </c>
      <c r="J123" s="16" t="s">
        <v>40</v>
      </c>
    </row>
    <row r="124" spans="1:10">
      <c r="A124" s="19">
        <v>120</v>
      </c>
      <c r="B124" s="16" t="s">
        <v>1257</v>
      </c>
      <c r="C124" s="16" t="s">
        <v>1268</v>
      </c>
      <c r="D124" s="24" t="s">
        <v>1269</v>
      </c>
      <c r="E124" s="25">
        <v>433</v>
      </c>
      <c r="F124" s="26" t="s">
        <v>700</v>
      </c>
      <c r="G124" s="16" t="s">
        <v>701</v>
      </c>
      <c r="H124" s="31">
        <v>35.799999999999997</v>
      </c>
      <c r="I124" s="31">
        <v>47.6</v>
      </c>
      <c r="J124" s="16" t="s">
        <v>40</v>
      </c>
    </row>
    <row r="125" spans="1:10">
      <c r="A125" s="19">
        <v>121</v>
      </c>
      <c r="B125" s="16" t="s">
        <v>1257</v>
      </c>
      <c r="C125" s="16" t="s">
        <v>1270</v>
      </c>
      <c r="D125" s="24" t="s">
        <v>1271</v>
      </c>
      <c r="E125" s="25">
        <v>642</v>
      </c>
      <c r="F125" s="26" t="s">
        <v>700</v>
      </c>
      <c r="G125" s="16" t="s">
        <v>701</v>
      </c>
      <c r="H125" s="31">
        <v>53.8</v>
      </c>
      <c r="I125" s="31">
        <v>66.3</v>
      </c>
      <c r="J125" s="16" t="s">
        <v>40</v>
      </c>
    </row>
    <row r="126" spans="1:10">
      <c r="A126" s="19">
        <v>122</v>
      </c>
      <c r="B126" s="16" t="s">
        <v>1257</v>
      </c>
      <c r="C126" s="16" t="s">
        <v>1272</v>
      </c>
      <c r="D126" s="24" t="s">
        <v>1273</v>
      </c>
      <c r="E126" s="25">
        <v>1147</v>
      </c>
      <c r="F126" s="26" t="s">
        <v>700</v>
      </c>
      <c r="G126" s="16" t="s">
        <v>701</v>
      </c>
      <c r="H126" s="31">
        <v>59.6</v>
      </c>
      <c r="I126" s="31">
        <v>72.7</v>
      </c>
      <c r="J126" s="16" t="s">
        <v>40</v>
      </c>
    </row>
    <row r="127" spans="1:10">
      <c r="A127" s="20">
        <v>123</v>
      </c>
      <c r="B127" s="17" t="s">
        <v>1257</v>
      </c>
      <c r="C127" s="17" t="s">
        <v>1274</v>
      </c>
      <c r="D127" s="27" t="s">
        <v>1275</v>
      </c>
      <c r="E127" s="28">
        <v>1123</v>
      </c>
      <c r="F127" s="29" t="s">
        <v>700</v>
      </c>
      <c r="G127" s="17" t="s">
        <v>701</v>
      </c>
      <c r="H127" s="32">
        <v>40.1</v>
      </c>
      <c r="I127" s="32">
        <v>50.7</v>
      </c>
      <c r="J127" s="17" t="s">
        <v>40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4"/>
  <sheetViews>
    <sheetView showGridLines="0" workbookViewId="0"/>
  </sheetViews>
  <sheetFormatPr baseColWidth="10" defaultColWidth="8.83203125" defaultRowHeight="14"/>
  <cols>
    <col min="1" max="1" width="7" customWidth="1"/>
    <col min="2" max="2" width="23" customWidth="1"/>
    <col min="3" max="3" width="25" customWidth="1"/>
    <col min="4" max="4" width="13" customWidth="1"/>
    <col min="5" max="5" width="16" customWidth="1"/>
    <col min="6" max="6" width="15" customWidth="1"/>
    <col min="7" max="7" width="22" customWidth="1"/>
    <col min="8" max="9" width="21" customWidth="1"/>
    <col min="10" max="10" width="22" customWidth="1"/>
  </cols>
  <sheetData>
    <row r="1" spans="1:10" ht="30" customHeight="1">
      <c r="A1" s="39" t="s">
        <v>1276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2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2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5</v>
      </c>
      <c r="F4" s="14" t="s">
        <v>30</v>
      </c>
      <c r="G4" s="14" t="s">
        <v>31</v>
      </c>
      <c r="H4" s="14" t="s">
        <v>32</v>
      </c>
      <c r="I4" s="14" t="s">
        <v>33</v>
      </c>
      <c r="J4" s="14" t="s">
        <v>34</v>
      </c>
    </row>
    <row r="5" spans="1:10">
      <c r="A5" s="18">
        <v>1</v>
      </c>
      <c r="B5" s="15" t="s">
        <v>136</v>
      </c>
      <c r="C5" s="15" t="s">
        <v>1277</v>
      </c>
      <c r="D5" s="21" t="s">
        <v>1278</v>
      </c>
      <c r="E5" s="22">
        <v>2069</v>
      </c>
      <c r="F5" s="23" t="s">
        <v>573</v>
      </c>
      <c r="G5" s="15" t="s">
        <v>574</v>
      </c>
      <c r="H5" s="30">
        <v>33.299999999999997</v>
      </c>
      <c r="I5" s="30">
        <v>39.1</v>
      </c>
      <c r="J5" s="15" t="s">
        <v>40</v>
      </c>
    </row>
    <row r="6" spans="1:10">
      <c r="A6" s="19">
        <v>2</v>
      </c>
      <c r="B6" s="16" t="s">
        <v>136</v>
      </c>
      <c r="C6" s="16" t="s">
        <v>1279</v>
      </c>
      <c r="D6" s="24" t="s">
        <v>1280</v>
      </c>
      <c r="E6" s="25">
        <v>738</v>
      </c>
      <c r="F6" s="26" t="s">
        <v>573</v>
      </c>
      <c r="G6" s="16" t="s">
        <v>574</v>
      </c>
      <c r="H6" s="31">
        <v>44.2</v>
      </c>
      <c r="I6" s="31">
        <v>56.1</v>
      </c>
      <c r="J6" s="16" t="s">
        <v>40</v>
      </c>
    </row>
    <row r="7" spans="1:10">
      <c r="A7" s="19">
        <v>3</v>
      </c>
      <c r="B7" s="16" t="s">
        <v>136</v>
      </c>
      <c r="C7" s="16" t="s">
        <v>1281</v>
      </c>
      <c r="D7" s="24" t="s">
        <v>1282</v>
      </c>
      <c r="E7" s="25">
        <v>1829</v>
      </c>
      <c r="F7" s="26" t="s">
        <v>139</v>
      </c>
      <c r="G7" s="16" t="s">
        <v>140</v>
      </c>
      <c r="H7" s="31">
        <v>57.8</v>
      </c>
      <c r="I7" s="31">
        <v>70.2</v>
      </c>
      <c r="J7" s="16" t="s">
        <v>40</v>
      </c>
    </row>
    <row r="8" spans="1:10">
      <c r="A8" s="19">
        <v>4</v>
      </c>
      <c r="B8" s="16" t="s">
        <v>136</v>
      </c>
      <c r="C8" s="16" t="s">
        <v>1283</v>
      </c>
      <c r="D8" s="24" t="s">
        <v>1284</v>
      </c>
      <c r="E8" s="25">
        <v>969</v>
      </c>
      <c r="F8" s="26" t="s">
        <v>139</v>
      </c>
      <c r="G8" s="16" t="s">
        <v>140</v>
      </c>
      <c r="H8" s="31">
        <v>44.4</v>
      </c>
      <c r="I8" s="31">
        <v>57.1</v>
      </c>
      <c r="J8" s="16" t="s">
        <v>40</v>
      </c>
    </row>
    <row r="9" spans="1:10">
      <c r="A9" s="19">
        <v>5</v>
      </c>
      <c r="B9" s="16" t="s">
        <v>136</v>
      </c>
      <c r="C9" s="16" t="s">
        <v>1285</v>
      </c>
      <c r="D9" s="24" t="s">
        <v>1286</v>
      </c>
      <c r="E9" s="25">
        <v>1433</v>
      </c>
      <c r="F9" s="26" t="s">
        <v>139</v>
      </c>
      <c r="G9" s="16" t="s">
        <v>140</v>
      </c>
      <c r="H9" s="31">
        <v>45.8</v>
      </c>
      <c r="I9" s="31">
        <v>55.9</v>
      </c>
      <c r="J9" s="16" t="s">
        <v>40</v>
      </c>
    </row>
    <row r="10" spans="1:10">
      <c r="A10" s="19">
        <v>6</v>
      </c>
      <c r="B10" s="16" t="s">
        <v>136</v>
      </c>
      <c r="C10" s="16" t="s">
        <v>1287</v>
      </c>
      <c r="D10" s="24" t="s">
        <v>1288</v>
      </c>
      <c r="E10" s="25">
        <v>1304</v>
      </c>
      <c r="F10" s="26" t="s">
        <v>573</v>
      </c>
      <c r="G10" s="16" t="s">
        <v>574</v>
      </c>
      <c r="H10" s="31">
        <v>31.4</v>
      </c>
      <c r="I10" s="31">
        <v>34</v>
      </c>
      <c r="J10" s="16" t="s">
        <v>40</v>
      </c>
    </row>
    <row r="11" spans="1:10">
      <c r="A11" s="19">
        <v>7</v>
      </c>
      <c r="B11" s="16" t="s">
        <v>136</v>
      </c>
      <c r="C11" s="16" t="s">
        <v>1289</v>
      </c>
      <c r="D11" s="24" t="s">
        <v>1290</v>
      </c>
      <c r="E11" s="25">
        <v>1474</v>
      </c>
      <c r="F11" s="26" t="s">
        <v>573</v>
      </c>
      <c r="G11" s="16" t="s">
        <v>574</v>
      </c>
      <c r="H11" s="31">
        <v>35.9</v>
      </c>
      <c r="I11" s="31">
        <v>45.9</v>
      </c>
      <c r="J11" s="16" t="s">
        <v>40</v>
      </c>
    </row>
    <row r="12" spans="1:10">
      <c r="A12" s="19">
        <v>8</v>
      </c>
      <c r="B12" s="16" t="s">
        <v>136</v>
      </c>
      <c r="C12" s="16" t="s">
        <v>1291</v>
      </c>
      <c r="D12" s="24" t="s">
        <v>1292</v>
      </c>
      <c r="E12" s="25">
        <v>408</v>
      </c>
      <c r="F12" s="26" t="s">
        <v>139</v>
      </c>
      <c r="G12" s="16" t="s">
        <v>140</v>
      </c>
      <c r="H12" s="31">
        <v>46.5</v>
      </c>
      <c r="I12" s="31">
        <v>55.7</v>
      </c>
      <c r="J12" s="16" t="s">
        <v>40</v>
      </c>
    </row>
    <row r="13" spans="1:10">
      <c r="A13" s="19">
        <v>9</v>
      </c>
      <c r="B13" s="16" t="s">
        <v>136</v>
      </c>
      <c r="C13" s="16" t="s">
        <v>1293</v>
      </c>
      <c r="D13" s="24" t="s">
        <v>1294</v>
      </c>
      <c r="E13" s="25">
        <v>780</v>
      </c>
      <c r="F13" s="26" t="s">
        <v>573</v>
      </c>
      <c r="G13" s="16" t="s">
        <v>574</v>
      </c>
      <c r="H13" s="31">
        <v>41.7</v>
      </c>
      <c r="I13" s="31">
        <v>52.8</v>
      </c>
      <c r="J13" s="16" t="s">
        <v>40</v>
      </c>
    </row>
    <row r="14" spans="1:10">
      <c r="A14" s="19">
        <v>10</v>
      </c>
      <c r="B14" s="16" t="s">
        <v>136</v>
      </c>
      <c r="C14" s="16" t="s">
        <v>1295</v>
      </c>
      <c r="D14" s="24" t="s">
        <v>1296</v>
      </c>
      <c r="E14" s="25">
        <v>1146</v>
      </c>
      <c r="F14" s="26" t="s">
        <v>573</v>
      </c>
      <c r="G14" s="16" t="s">
        <v>574</v>
      </c>
      <c r="H14" s="31">
        <v>41.8</v>
      </c>
      <c r="I14" s="31">
        <v>51.7</v>
      </c>
      <c r="J14" s="16" t="s">
        <v>40</v>
      </c>
    </row>
    <row r="15" spans="1:10">
      <c r="A15" s="19">
        <v>11</v>
      </c>
      <c r="B15" s="16" t="s">
        <v>136</v>
      </c>
      <c r="C15" s="16" t="s">
        <v>1297</v>
      </c>
      <c r="D15" s="24" t="s">
        <v>1298</v>
      </c>
      <c r="E15" s="25">
        <v>932</v>
      </c>
      <c r="F15" s="26" t="s">
        <v>573</v>
      </c>
      <c r="G15" s="16" t="s">
        <v>574</v>
      </c>
      <c r="H15" s="31">
        <v>33.200000000000003</v>
      </c>
      <c r="I15" s="31">
        <v>42.3</v>
      </c>
      <c r="J15" s="16" t="s">
        <v>40</v>
      </c>
    </row>
    <row r="16" spans="1:10">
      <c r="A16" s="19">
        <v>12</v>
      </c>
      <c r="B16" s="16" t="s">
        <v>227</v>
      </c>
      <c r="C16" s="16" t="s">
        <v>1299</v>
      </c>
      <c r="D16" s="24" t="s">
        <v>1300</v>
      </c>
      <c r="E16" s="25">
        <v>2295</v>
      </c>
      <c r="F16" s="26" t="s">
        <v>77</v>
      </c>
      <c r="G16" s="16" t="s">
        <v>78</v>
      </c>
      <c r="H16" s="31">
        <v>26.5</v>
      </c>
      <c r="I16" s="31">
        <v>29.7</v>
      </c>
      <c r="J16" s="16" t="s">
        <v>40</v>
      </c>
    </row>
    <row r="17" spans="1:10">
      <c r="A17" s="19">
        <v>13</v>
      </c>
      <c r="B17" s="16" t="s">
        <v>227</v>
      </c>
      <c r="C17" s="16" t="s">
        <v>1301</v>
      </c>
      <c r="D17" s="24" t="s">
        <v>1302</v>
      </c>
      <c r="E17" s="25">
        <v>1640</v>
      </c>
      <c r="F17" s="26" t="s">
        <v>1303</v>
      </c>
      <c r="G17" s="16" t="s">
        <v>1304</v>
      </c>
      <c r="H17" s="31">
        <v>17.7</v>
      </c>
      <c r="I17" s="31">
        <v>19.5</v>
      </c>
      <c r="J17" s="16" t="s">
        <v>40</v>
      </c>
    </row>
    <row r="18" spans="1:10">
      <c r="A18" s="19">
        <v>14</v>
      </c>
      <c r="B18" s="16" t="s">
        <v>227</v>
      </c>
      <c r="C18" s="16" t="s">
        <v>1305</v>
      </c>
      <c r="D18" s="24" t="s">
        <v>1306</v>
      </c>
      <c r="E18" s="25">
        <v>1250</v>
      </c>
      <c r="F18" s="26" t="s">
        <v>77</v>
      </c>
      <c r="G18" s="16" t="s">
        <v>78</v>
      </c>
      <c r="H18" s="31">
        <v>31.3</v>
      </c>
      <c r="I18" s="31">
        <v>36</v>
      </c>
      <c r="J18" s="16" t="s">
        <v>40</v>
      </c>
    </row>
    <row r="19" spans="1:10">
      <c r="A19" s="19">
        <v>15</v>
      </c>
      <c r="B19" s="16" t="s">
        <v>227</v>
      </c>
      <c r="C19" s="16" t="s">
        <v>1307</v>
      </c>
      <c r="D19" s="24" t="s">
        <v>1308</v>
      </c>
      <c r="E19" s="25">
        <v>1059</v>
      </c>
      <c r="F19" s="26" t="s">
        <v>1303</v>
      </c>
      <c r="G19" s="16" t="s">
        <v>1304</v>
      </c>
      <c r="H19" s="31">
        <v>18.899999999999999</v>
      </c>
      <c r="I19" s="31">
        <v>22.3</v>
      </c>
      <c r="J19" s="16" t="s">
        <v>40</v>
      </c>
    </row>
    <row r="20" spans="1:10">
      <c r="A20" s="19">
        <v>16</v>
      </c>
      <c r="B20" s="16" t="s">
        <v>227</v>
      </c>
      <c r="C20" s="16" t="s">
        <v>1309</v>
      </c>
      <c r="D20" s="24" t="s">
        <v>1310</v>
      </c>
      <c r="E20" s="25">
        <v>2060</v>
      </c>
      <c r="F20" s="26" t="s">
        <v>77</v>
      </c>
      <c r="G20" s="16" t="s">
        <v>78</v>
      </c>
      <c r="H20" s="31">
        <v>27.7</v>
      </c>
      <c r="I20" s="31">
        <v>31.8</v>
      </c>
      <c r="J20" s="16" t="s">
        <v>40</v>
      </c>
    </row>
    <row r="21" spans="1:10">
      <c r="A21" s="19">
        <v>17</v>
      </c>
      <c r="B21" s="16" t="s">
        <v>227</v>
      </c>
      <c r="C21" s="16" t="s">
        <v>1311</v>
      </c>
      <c r="D21" s="24" t="s">
        <v>1312</v>
      </c>
      <c r="E21" s="25">
        <v>908</v>
      </c>
      <c r="F21" s="26" t="s">
        <v>77</v>
      </c>
      <c r="G21" s="16" t="s">
        <v>78</v>
      </c>
      <c r="H21" s="31">
        <v>27.4</v>
      </c>
      <c r="I21" s="31">
        <v>31.9</v>
      </c>
      <c r="J21" s="16" t="s">
        <v>40</v>
      </c>
    </row>
    <row r="22" spans="1:10">
      <c r="A22" s="19">
        <v>18</v>
      </c>
      <c r="B22" s="16" t="s">
        <v>227</v>
      </c>
      <c r="C22" s="16" t="s">
        <v>1313</v>
      </c>
      <c r="D22" s="24" t="s">
        <v>1314</v>
      </c>
      <c r="E22" s="25">
        <v>2707</v>
      </c>
      <c r="F22" s="26" t="s">
        <v>77</v>
      </c>
      <c r="G22" s="16" t="s">
        <v>78</v>
      </c>
      <c r="H22" s="31">
        <v>23.2</v>
      </c>
      <c r="I22" s="31">
        <v>27.2</v>
      </c>
      <c r="J22" s="16" t="s">
        <v>40</v>
      </c>
    </row>
    <row r="23" spans="1:10">
      <c r="A23" s="19">
        <v>19</v>
      </c>
      <c r="B23" s="16" t="s">
        <v>227</v>
      </c>
      <c r="C23" s="16" t="s">
        <v>1315</v>
      </c>
      <c r="D23" s="24" t="s">
        <v>1316</v>
      </c>
      <c r="E23" s="25">
        <v>914</v>
      </c>
      <c r="F23" s="26" t="s">
        <v>1303</v>
      </c>
      <c r="G23" s="16" t="s">
        <v>1304</v>
      </c>
      <c r="H23" s="31">
        <v>19.5</v>
      </c>
      <c r="I23" s="31">
        <v>23</v>
      </c>
      <c r="J23" s="16" t="s">
        <v>40</v>
      </c>
    </row>
    <row r="24" spans="1:10">
      <c r="A24" s="19">
        <v>20</v>
      </c>
      <c r="B24" s="16" t="s">
        <v>261</v>
      </c>
      <c r="C24" s="16" t="s">
        <v>1317</v>
      </c>
      <c r="D24" s="24" t="s">
        <v>1318</v>
      </c>
      <c r="E24" s="25">
        <v>3068</v>
      </c>
      <c r="F24" s="26" t="s">
        <v>77</v>
      </c>
      <c r="G24" s="16" t="s">
        <v>78</v>
      </c>
      <c r="H24" s="31">
        <v>41.9</v>
      </c>
      <c r="I24" s="31">
        <v>31.4</v>
      </c>
      <c r="J24" s="16" t="s">
        <v>293</v>
      </c>
    </row>
    <row r="25" spans="1:10">
      <c r="A25" s="19">
        <v>21</v>
      </c>
      <c r="B25" s="16" t="s">
        <v>261</v>
      </c>
      <c r="C25" s="16" t="s">
        <v>1319</v>
      </c>
      <c r="D25" s="24"/>
      <c r="E25" s="25">
        <v>0</v>
      </c>
      <c r="F25" s="26" t="s">
        <v>77</v>
      </c>
      <c r="G25" s="16" t="s">
        <v>78</v>
      </c>
      <c r="H25" s="31">
        <v>35.700000000000003</v>
      </c>
      <c r="I25" s="31">
        <v>26.8</v>
      </c>
      <c r="J25" s="16" t="s">
        <v>293</v>
      </c>
    </row>
    <row r="26" spans="1:10">
      <c r="A26" s="19">
        <v>22</v>
      </c>
      <c r="B26" s="16" t="s">
        <v>261</v>
      </c>
      <c r="C26" s="16" t="s">
        <v>1320</v>
      </c>
      <c r="D26" s="24" t="s">
        <v>1321</v>
      </c>
      <c r="E26" s="25">
        <v>1505</v>
      </c>
      <c r="F26" s="26" t="s">
        <v>77</v>
      </c>
      <c r="G26" s="16" t="s">
        <v>78</v>
      </c>
      <c r="H26" s="31">
        <v>31.5</v>
      </c>
      <c r="I26" s="31">
        <v>35.4</v>
      </c>
      <c r="J26" s="16" t="s">
        <v>40</v>
      </c>
    </row>
    <row r="27" spans="1:10">
      <c r="A27" s="19">
        <v>23</v>
      </c>
      <c r="B27" s="16" t="s">
        <v>261</v>
      </c>
      <c r="C27" s="16" t="s">
        <v>1322</v>
      </c>
      <c r="D27" s="24" t="s">
        <v>1323</v>
      </c>
      <c r="E27" s="25">
        <v>466</v>
      </c>
      <c r="F27" s="26" t="s">
        <v>77</v>
      </c>
      <c r="G27" s="16" t="s">
        <v>78</v>
      </c>
      <c r="H27" s="31">
        <v>28.1</v>
      </c>
      <c r="I27" s="31">
        <v>31.4</v>
      </c>
      <c r="J27" s="16" t="s">
        <v>40</v>
      </c>
    </row>
    <row r="28" spans="1:10">
      <c r="A28" s="19">
        <v>24</v>
      </c>
      <c r="B28" s="16" t="s">
        <v>261</v>
      </c>
      <c r="C28" s="16" t="s">
        <v>1324</v>
      </c>
      <c r="D28" s="24" t="s">
        <v>1325</v>
      </c>
      <c r="E28" s="25">
        <v>1706</v>
      </c>
      <c r="F28" s="26" t="s">
        <v>77</v>
      </c>
      <c r="G28" s="16" t="s">
        <v>78</v>
      </c>
      <c r="H28" s="31">
        <v>31.1</v>
      </c>
      <c r="I28" s="31">
        <v>33.200000000000003</v>
      </c>
      <c r="J28" s="16" t="s">
        <v>40</v>
      </c>
    </row>
    <row r="29" spans="1:10">
      <c r="A29" s="19">
        <v>25</v>
      </c>
      <c r="B29" s="16" t="s">
        <v>261</v>
      </c>
      <c r="C29" s="16" t="s">
        <v>1326</v>
      </c>
      <c r="D29" s="24" t="s">
        <v>1327</v>
      </c>
      <c r="E29" s="25">
        <v>1585</v>
      </c>
      <c r="F29" s="26" t="s">
        <v>77</v>
      </c>
      <c r="G29" s="16" t="s">
        <v>78</v>
      </c>
      <c r="H29" s="31">
        <v>38.200000000000003</v>
      </c>
      <c r="I29" s="31">
        <v>28.7</v>
      </c>
      <c r="J29" s="16" t="s">
        <v>293</v>
      </c>
    </row>
    <row r="30" spans="1:10">
      <c r="A30" s="19">
        <v>26</v>
      </c>
      <c r="B30" s="16" t="s">
        <v>261</v>
      </c>
      <c r="C30" s="16" t="s">
        <v>1328</v>
      </c>
      <c r="D30" s="24" t="s">
        <v>1329</v>
      </c>
      <c r="E30" s="25">
        <v>1680</v>
      </c>
      <c r="F30" s="26" t="s">
        <v>77</v>
      </c>
      <c r="G30" s="16" t="s">
        <v>78</v>
      </c>
      <c r="H30" s="31">
        <v>25.3</v>
      </c>
      <c r="I30" s="31">
        <v>27.9</v>
      </c>
      <c r="J30" s="16" t="s">
        <v>40</v>
      </c>
    </row>
    <row r="31" spans="1:10">
      <c r="A31" s="19">
        <v>27</v>
      </c>
      <c r="B31" s="16" t="s">
        <v>1330</v>
      </c>
      <c r="C31" s="16" t="s">
        <v>1331</v>
      </c>
      <c r="D31" s="24" t="s">
        <v>1332</v>
      </c>
      <c r="E31" s="25">
        <v>977</v>
      </c>
      <c r="F31" s="26" t="s">
        <v>1303</v>
      </c>
      <c r="G31" s="16" t="s">
        <v>1304</v>
      </c>
      <c r="H31" s="31">
        <v>10.7</v>
      </c>
      <c r="I31" s="31">
        <v>9.9</v>
      </c>
      <c r="J31" s="16" t="s">
        <v>40</v>
      </c>
    </row>
    <row r="32" spans="1:10">
      <c r="A32" s="19">
        <v>28</v>
      </c>
      <c r="B32" s="16" t="s">
        <v>1330</v>
      </c>
      <c r="C32" s="16" t="s">
        <v>1333</v>
      </c>
      <c r="D32" s="24" t="s">
        <v>1334</v>
      </c>
      <c r="E32" s="25">
        <v>1384</v>
      </c>
      <c r="F32" s="26" t="s">
        <v>1303</v>
      </c>
      <c r="G32" s="16" t="s">
        <v>1304</v>
      </c>
      <c r="H32" s="31">
        <v>14.5</v>
      </c>
      <c r="I32" s="31">
        <v>15.7</v>
      </c>
      <c r="J32" s="16" t="s">
        <v>40</v>
      </c>
    </row>
    <row r="33" spans="1:10">
      <c r="A33" s="19">
        <v>29</v>
      </c>
      <c r="B33" s="16" t="s">
        <v>1330</v>
      </c>
      <c r="C33" s="16" t="s">
        <v>1335</v>
      </c>
      <c r="D33" s="24" t="s">
        <v>1336</v>
      </c>
      <c r="E33" s="25">
        <v>1067</v>
      </c>
      <c r="F33" s="26" t="s">
        <v>1303</v>
      </c>
      <c r="G33" s="16" t="s">
        <v>1304</v>
      </c>
      <c r="H33" s="31">
        <v>23.7</v>
      </c>
      <c r="I33" s="31">
        <v>24.3</v>
      </c>
      <c r="J33" s="16" t="s">
        <v>40</v>
      </c>
    </row>
    <row r="34" spans="1:10">
      <c r="A34" s="19">
        <v>30</v>
      </c>
      <c r="B34" s="16" t="s">
        <v>1330</v>
      </c>
      <c r="C34" s="16" t="s">
        <v>1337</v>
      </c>
      <c r="D34" s="24" t="s">
        <v>1338</v>
      </c>
      <c r="E34" s="25">
        <v>679</v>
      </c>
      <c r="F34" s="26" t="s">
        <v>573</v>
      </c>
      <c r="G34" s="16" t="s">
        <v>574</v>
      </c>
      <c r="H34" s="31">
        <v>26.1</v>
      </c>
      <c r="I34" s="31">
        <v>29.7</v>
      </c>
      <c r="J34" s="16" t="s">
        <v>40</v>
      </c>
    </row>
    <row r="35" spans="1:10">
      <c r="A35" s="19">
        <v>31</v>
      </c>
      <c r="B35" s="16" t="s">
        <v>1330</v>
      </c>
      <c r="C35" s="16" t="s">
        <v>1339</v>
      </c>
      <c r="D35" s="24" t="s">
        <v>1340</v>
      </c>
      <c r="E35" s="25">
        <v>1292</v>
      </c>
      <c r="F35" s="26" t="s">
        <v>1303</v>
      </c>
      <c r="G35" s="16" t="s">
        <v>1304</v>
      </c>
      <c r="H35" s="31">
        <v>18.399999999999999</v>
      </c>
      <c r="I35" s="31">
        <v>19.100000000000001</v>
      </c>
      <c r="J35" s="16" t="s">
        <v>40</v>
      </c>
    </row>
    <row r="36" spans="1:10">
      <c r="A36" s="19">
        <v>32</v>
      </c>
      <c r="B36" s="16" t="s">
        <v>1330</v>
      </c>
      <c r="C36" s="16" t="s">
        <v>1341</v>
      </c>
      <c r="D36" s="24" t="s">
        <v>1342</v>
      </c>
      <c r="E36" s="25">
        <v>1675</v>
      </c>
      <c r="F36" s="26" t="s">
        <v>1303</v>
      </c>
      <c r="G36" s="16" t="s">
        <v>1304</v>
      </c>
      <c r="H36" s="31">
        <v>27</v>
      </c>
      <c r="I36" s="31">
        <v>25.3</v>
      </c>
      <c r="J36" s="16" t="s">
        <v>40</v>
      </c>
    </row>
    <row r="37" spans="1:10">
      <c r="A37" s="19">
        <v>33</v>
      </c>
      <c r="B37" s="16" t="s">
        <v>1330</v>
      </c>
      <c r="C37" s="16" t="s">
        <v>1343</v>
      </c>
      <c r="D37" s="24" t="s">
        <v>1344</v>
      </c>
      <c r="E37" s="25">
        <v>1982</v>
      </c>
      <c r="F37" s="26" t="s">
        <v>1303</v>
      </c>
      <c r="G37" s="16" t="s">
        <v>1304</v>
      </c>
      <c r="H37" s="31">
        <v>20.5</v>
      </c>
      <c r="I37" s="31">
        <v>19.7</v>
      </c>
      <c r="J37" s="16" t="s">
        <v>40</v>
      </c>
    </row>
    <row r="38" spans="1:10">
      <c r="A38" s="19">
        <v>34</v>
      </c>
      <c r="B38" s="16" t="s">
        <v>1330</v>
      </c>
      <c r="C38" s="16" t="s">
        <v>1345</v>
      </c>
      <c r="D38" s="24" t="s">
        <v>1346</v>
      </c>
      <c r="E38" s="25">
        <v>1847</v>
      </c>
      <c r="F38" s="26" t="s">
        <v>573</v>
      </c>
      <c r="G38" s="16" t="s">
        <v>574</v>
      </c>
      <c r="H38" s="31">
        <v>28.5</v>
      </c>
      <c r="I38" s="31">
        <v>21.4</v>
      </c>
      <c r="J38" s="16" t="s">
        <v>293</v>
      </c>
    </row>
    <row r="39" spans="1:10">
      <c r="A39" s="19">
        <v>35</v>
      </c>
      <c r="B39" s="16" t="s">
        <v>1330</v>
      </c>
      <c r="C39" s="16" t="s">
        <v>1347</v>
      </c>
      <c r="D39" s="24" t="s">
        <v>1348</v>
      </c>
      <c r="E39" s="25">
        <v>652</v>
      </c>
      <c r="F39" s="26" t="s">
        <v>1303</v>
      </c>
      <c r="G39" s="16" t="s">
        <v>1304</v>
      </c>
      <c r="H39" s="31">
        <v>22.9</v>
      </c>
      <c r="I39" s="31">
        <v>22.5</v>
      </c>
      <c r="J39" s="16" t="s">
        <v>40</v>
      </c>
    </row>
    <row r="40" spans="1:10">
      <c r="A40" s="19">
        <v>36</v>
      </c>
      <c r="B40" s="16" t="s">
        <v>1330</v>
      </c>
      <c r="C40" s="16" t="s">
        <v>1349</v>
      </c>
      <c r="D40" s="24" t="s">
        <v>1350</v>
      </c>
      <c r="E40" s="25">
        <v>1350</v>
      </c>
      <c r="F40" s="26" t="s">
        <v>1303</v>
      </c>
      <c r="G40" s="16" t="s">
        <v>1304</v>
      </c>
      <c r="H40" s="31">
        <v>20.399999999999999</v>
      </c>
      <c r="I40" s="31">
        <v>18.7</v>
      </c>
      <c r="J40" s="16" t="s">
        <v>40</v>
      </c>
    </row>
    <row r="41" spans="1:10">
      <c r="A41" s="19">
        <v>37</v>
      </c>
      <c r="B41" s="16" t="s">
        <v>1330</v>
      </c>
      <c r="C41" s="16" t="s">
        <v>1351</v>
      </c>
      <c r="D41" s="24" t="s">
        <v>1352</v>
      </c>
      <c r="E41" s="25">
        <v>1227</v>
      </c>
      <c r="F41" s="26" t="s">
        <v>1303</v>
      </c>
      <c r="G41" s="16" t="s">
        <v>1304</v>
      </c>
      <c r="H41" s="31">
        <v>20.399999999999999</v>
      </c>
      <c r="I41" s="31">
        <v>24.2</v>
      </c>
      <c r="J41" s="16" t="s">
        <v>40</v>
      </c>
    </row>
    <row r="42" spans="1:10">
      <c r="A42" s="19">
        <v>38</v>
      </c>
      <c r="B42" s="16" t="s">
        <v>1330</v>
      </c>
      <c r="C42" s="16" t="s">
        <v>1353</v>
      </c>
      <c r="D42" s="24" t="s">
        <v>1354</v>
      </c>
      <c r="E42" s="25">
        <v>1553</v>
      </c>
      <c r="F42" s="26" t="s">
        <v>1303</v>
      </c>
      <c r="G42" s="16" t="s">
        <v>1304</v>
      </c>
      <c r="H42" s="31">
        <v>26.9</v>
      </c>
      <c r="I42" s="31">
        <v>30.3</v>
      </c>
      <c r="J42" s="16" t="s">
        <v>40</v>
      </c>
    </row>
    <row r="43" spans="1:10">
      <c r="A43" s="19">
        <v>39</v>
      </c>
      <c r="B43" s="16" t="s">
        <v>1330</v>
      </c>
      <c r="C43" s="16" t="s">
        <v>1355</v>
      </c>
      <c r="D43" s="24" t="s">
        <v>1356</v>
      </c>
      <c r="E43" s="25">
        <v>3624</v>
      </c>
      <c r="F43" s="26" t="s">
        <v>1303</v>
      </c>
      <c r="G43" s="16" t="s">
        <v>1304</v>
      </c>
      <c r="H43" s="31">
        <v>14.1</v>
      </c>
      <c r="I43" s="31">
        <v>14.9</v>
      </c>
      <c r="J43" s="16" t="s">
        <v>40</v>
      </c>
    </row>
    <row r="44" spans="1:10">
      <c r="A44" s="19">
        <v>40</v>
      </c>
      <c r="B44" s="16" t="s">
        <v>1330</v>
      </c>
      <c r="C44" s="16" t="s">
        <v>1357</v>
      </c>
      <c r="D44" s="24" t="s">
        <v>1358</v>
      </c>
      <c r="E44" s="25">
        <v>2289</v>
      </c>
      <c r="F44" s="26" t="s">
        <v>1303</v>
      </c>
      <c r="G44" s="16" t="s">
        <v>1304</v>
      </c>
      <c r="H44" s="31">
        <v>28.8</v>
      </c>
      <c r="I44" s="31">
        <v>32.299999999999997</v>
      </c>
      <c r="J44" s="16" t="s">
        <v>40</v>
      </c>
    </row>
    <row r="45" spans="1:10">
      <c r="A45" s="19">
        <v>41</v>
      </c>
      <c r="B45" s="16" t="s">
        <v>1330</v>
      </c>
      <c r="C45" s="16" t="s">
        <v>1359</v>
      </c>
      <c r="D45" s="24" t="s">
        <v>1360</v>
      </c>
      <c r="E45" s="25">
        <v>897</v>
      </c>
      <c r="F45" s="26" t="s">
        <v>1303</v>
      </c>
      <c r="G45" s="16" t="s">
        <v>1304</v>
      </c>
      <c r="H45" s="31">
        <v>16.399999999999999</v>
      </c>
      <c r="I45" s="31">
        <v>18.100000000000001</v>
      </c>
      <c r="J45" s="16" t="s">
        <v>40</v>
      </c>
    </row>
    <row r="46" spans="1:10">
      <c r="A46" s="19">
        <v>42</v>
      </c>
      <c r="B46" s="16" t="s">
        <v>1330</v>
      </c>
      <c r="C46" s="16" t="s">
        <v>1361</v>
      </c>
      <c r="D46" s="24" t="s">
        <v>1362</v>
      </c>
      <c r="E46" s="25">
        <v>816</v>
      </c>
      <c r="F46" s="26" t="s">
        <v>1303</v>
      </c>
      <c r="G46" s="16" t="s">
        <v>1304</v>
      </c>
      <c r="H46" s="31">
        <v>27.7</v>
      </c>
      <c r="I46" s="31">
        <v>28.5</v>
      </c>
      <c r="J46" s="16" t="s">
        <v>40</v>
      </c>
    </row>
    <row r="47" spans="1:10">
      <c r="A47" s="19">
        <v>43</v>
      </c>
      <c r="B47" s="16" t="s">
        <v>1330</v>
      </c>
      <c r="C47" s="16" t="s">
        <v>1363</v>
      </c>
      <c r="D47" s="24" t="s">
        <v>1364</v>
      </c>
      <c r="E47" s="25">
        <v>1143</v>
      </c>
      <c r="F47" s="26" t="s">
        <v>1303</v>
      </c>
      <c r="G47" s="16" t="s">
        <v>1304</v>
      </c>
      <c r="H47" s="31">
        <v>17.399999999999999</v>
      </c>
      <c r="I47" s="31">
        <v>22.3</v>
      </c>
      <c r="J47" s="16" t="s">
        <v>40</v>
      </c>
    </row>
    <row r="48" spans="1:10">
      <c r="A48" s="19">
        <v>44</v>
      </c>
      <c r="B48" s="16" t="s">
        <v>1330</v>
      </c>
      <c r="C48" s="16" t="s">
        <v>1365</v>
      </c>
      <c r="D48" s="24" t="s">
        <v>1366</v>
      </c>
      <c r="E48" s="25">
        <v>2397</v>
      </c>
      <c r="F48" s="26" t="s">
        <v>1303</v>
      </c>
      <c r="G48" s="16" t="s">
        <v>1304</v>
      </c>
      <c r="H48" s="31">
        <v>11.1</v>
      </c>
      <c r="I48" s="31">
        <v>9.9</v>
      </c>
      <c r="J48" s="16" t="s">
        <v>40</v>
      </c>
    </row>
    <row r="49" spans="1:10">
      <c r="A49" s="19">
        <v>45</v>
      </c>
      <c r="B49" s="16" t="s">
        <v>1330</v>
      </c>
      <c r="C49" s="16" t="s">
        <v>1367</v>
      </c>
      <c r="D49" s="24" t="s">
        <v>1368</v>
      </c>
      <c r="E49" s="25">
        <v>1832</v>
      </c>
      <c r="F49" s="26" t="s">
        <v>1303</v>
      </c>
      <c r="G49" s="16" t="s">
        <v>1304</v>
      </c>
      <c r="H49" s="31">
        <v>8.1999999999999993</v>
      </c>
      <c r="I49" s="31">
        <v>8.1</v>
      </c>
      <c r="J49" s="16" t="s">
        <v>40</v>
      </c>
    </row>
    <row r="50" spans="1:10">
      <c r="A50" s="19">
        <v>46</v>
      </c>
      <c r="B50" s="16" t="s">
        <v>1330</v>
      </c>
      <c r="C50" s="16" t="s">
        <v>1369</v>
      </c>
      <c r="D50" s="24" t="s">
        <v>1370</v>
      </c>
      <c r="E50" s="25">
        <v>1861</v>
      </c>
      <c r="F50" s="26" t="s">
        <v>1303</v>
      </c>
      <c r="G50" s="16" t="s">
        <v>1304</v>
      </c>
      <c r="H50" s="31">
        <v>37.299999999999997</v>
      </c>
      <c r="I50" s="31">
        <v>38.799999999999997</v>
      </c>
      <c r="J50" s="16" t="s">
        <v>40</v>
      </c>
    </row>
    <row r="51" spans="1:10">
      <c r="A51" s="19">
        <v>47</v>
      </c>
      <c r="B51" s="16" t="s">
        <v>1330</v>
      </c>
      <c r="C51" s="16" t="s">
        <v>1371</v>
      </c>
      <c r="D51" s="24" t="s">
        <v>1372</v>
      </c>
      <c r="E51" s="25">
        <v>1382</v>
      </c>
      <c r="F51" s="26" t="s">
        <v>1303</v>
      </c>
      <c r="G51" s="16" t="s">
        <v>1304</v>
      </c>
      <c r="H51" s="31">
        <v>22</v>
      </c>
      <c r="I51" s="31">
        <v>26.2</v>
      </c>
      <c r="J51" s="16" t="s">
        <v>40</v>
      </c>
    </row>
    <row r="52" spans="1:10">
      <c r="A52" s="19">
        <v>48</v>
      </c>
      <c r="B52" s="16" t="s">
        <v>1330</v>
      </c>
      <c r="C52" s="16" t="s">
        <v>955</v>
      </c>
      <c r="D52" s="24" t="s">
        <v>1373</v>
      </c>
      <c r="E52" s="25">
        <v>2822</v>
      </c>
      <c r="F52" s="26" t="s">
        <v>1303</v>
      </c>
      <c r="G52" s="16" t="s">
        <v>1304</v>
      </c>
      <c r="H52" s="31">
        <v>7.6</v>
      </c>
      <c r="I52" s="31">
        <v>8.6</v>
      </c>
      <c r="J52" s="16" t="s">
        <v>40</v>
      </c>
    </row>
    <row r="53" spans="1:10">
      <c r="A53" s="19">
        <v>49</v>
      </c>
      <c r="B53" s="16" t="s">
        <v>1330</v>
      </c>
      <c r="C53" s="16" t="s">
        <v>1374</v>
      </c>
      <c r="D53" s="24" t="s">
        <v>1375</v>
      </c>
      <c r="E53" s="25">
        <v>1673</v>
      </c>
      <c r="F53" s="26" t="s">
        <v>1303</v>
      </c>
      <c r="G53" s="16" t="s">
        <v>1304</v>
      </c>
      <c r="H53" s="31">
        <v>10.6</v>
      </c>
      <c r="I53" s="31">
        <v>9.1</v>
      </c>
      <c r="J53" s="16" t="s">
        <v>40</v>
      </c>
    </row>
    <row r="54" spans="1:10">
      <c r="A54" s="19">
        <v>50</v>
      </c>
      <c r="B54" s="16" t="s">
        <v>1330</v>
      </c>
      <c r="C54" s="16" t="s">
        <v>1376</v>
      </c>
      <c r="D54" s="24" t="s">
        <v>1377</v>
      </c>
      <c r="E54" s="25">
        <v>1169</v>
      </c>
      <c r="F54" s="26" t="s">
        <v>77</v>
      </c>
      <c r="G54" s="16" t="s">
        <v>78</v>
      </c>
      <c r="H54" s="31">
        <v>25.7</v>
      </c>
      <c r="I54" s="31">
        <v>27.9</v>
      </c>
      <c r="J54" s="16" t="s">
        <v>40</v>
      </c>
    </row>
    <row r="55" spans="1:10">
      <c r="A55" s="19">
        <v>51</v>
      </c>
      <c r="B55" s="16" t="s">
        <v>1330</v>
      </c>
      <c r="C55" s="16" t="s">
        <v>1378</v>
      </c>
      <c r="D55" s="24" t="s">
        <v>1379</v>
      </c>
      <c r="E55" s="25">
        <v>1513</v>
      </c>
      <c r="F55" s="26" t="s">
        <v>1303</v>
      </c>
      <c r="G55" s="16" t="s">
        <v>1304</v>
      </c>
      <c r="H55" s="31">
        <v>15</v>
      </c>
      <c r="I55" s="31">
        <v>17.8</v>
      </c>
      <c r="J55" s="16" t="s">
        <v>40</v>
      </c>
    </row>
    <row r="56" spans="1:10">
      <c r="A56" s="19">
        <v>52</v>
      </c>
      <c r="B56" s="16" t="s">
        <v>1330</v>
      </c>
      <c r="C56" s="16" t="s">
        <v>1380</v>
      </c>
      <c r="D56" s="24" t="s">
        <v>1381</v>
      </c>
      <c r="E56" s="25">
        <v>673</v>
      </c>
      <c r="F56" s="26" t="s">
        <v>1303</v>
      </c>
      <c r="G56" s="16" t="s">
        <v>1304</v>
      </c>
      <c r="H56" s="31">
        <v>16.5</v>
      </c>
      <c r="I56" s="31">
        <v>15</v>
      </c>
      <c r="J56" s="16" t="s">
        <v>40</v>
      </c>
    </row>
    <row r="57" spans="1:10">
      <c r="A57" s="19">
        <v>53</v>
      </c>
      <c r="B57" s="16" t="s">
        <v>1330</v>
      </c>
      <c r="C57" s="16" t="s">
        <v>1382</v>
      </c>
      <c r="D57" s="24" t="s">
        <v>1383</v>
      </c>
      <c r="E57" s="25">
        <v>1102</v>
      </c>
      <c r="F57" s="26" t="s">
        <v>1303</v>
      </c>
      <c r="G57" s="16" t="s">
        <v>1304</v>
      </c>
      <c r="H57" s="31">
        <v>12.2</v>
      </c>
      <c r="I57" s="31">
        <v>12.2</v>
      </c>
      <c r="J57" s="16" t="s">
        <v>40</v>
      </c>
    </row>
    <row r="58" spans="1:10">
      <c r="A58" s="19">
        <v>54</v>
      </c>
      <c r="B58" s="16" t="s">
        <v>1330</v>
      </c>
      <c r="C58" s="16" t="s">
        <v>1384</v>
      </c>
      <c r="D58" s="24" t="s">
        <v>1385</v>
      </c>
      <c r="E58" s="25">
        <v>1800</v>
      </c>
      <c r="F58" s="26" t="s">
        <v>1303</v>
      </c>
      <c r="G58" s="16" t="s">
        <v>1304</v>
      </c>
      <c r="H58" s="31">
        <v>7.3</v>
      </c>
      <c r="I58" s="31">
        <v>6.1</v>
      </c>
      <c r="J58" s="16" t="s">
        <v>40</v>
      </c>
    </row>
    <row r="59" spans="1:10">
      <c r="A59" s="19">
        <v>55</v>
      </c>
      <c r="B59" s="16" t="s">
        <v>1330</v>
      </c>
      <c r="C59" s="16" t="s">
        <v>1386</v>
      </c>
      <c r="D59" s="24" t="s">
        <v>1387</v>
      </c>
      <c r="E59" s="25">
        <v>817</v>
      </c>
      <c r="F59" s="26" t="s">
        <v>1303</v>
      </c>
      <c r="G59" s="16" t="s">
        <v>1304</v>
      </c>
      <c r="H59" s="31">
        <v>14.6</v>
      </c>
      <c r="I59" s="31">
        <v>15</v>
      </c>
      <c r="J59" s="16" t="s">
        <v>40</v>
      </c>
    </row>
    <row r="60" spans="1:10">
      <c r="A60" s="19">
        <v>56</v>
      </c>
      <c r="B60" s="16" t="s">
        <v>1330</v>
      </c>
      <c r="C60" s="16" t="s">
        <v>1304</v>
      </c>
      <c r="D60" s="24" t="s">
        <v>1388</v>
      </c>
      <c r="E60" s="25">
        <v>22183</v>
      </c>
      <c r="F60" s="26" t="s">
        <v>1303</v>
      </c>
      <c r="G60" s="16" t="s">
        <v>1304</v>
      </c>
      <c r="H60" s="31">
        <v>0</v>
      </c>
      <c r="I60" s="31">
        <v>0</v>
      </c>
      <c r="J60" s="16" t="s">
        <v>40</v>
      </c>
    </row>
    <row r="61" spans="1:10">
      <c r="A61" s="19">
        <v>57</v>
      </c>
      <c r="B61" s="16" t="s">
        <v>1330</v>
      </c>
      <c r="C61" s="16" t="s">
        <v>1389</v>
      </c>
      <c r="D61" s="24" t="s">
        <v>1390</v>
      </c>
      <c r="E61" s="25">
        <v>6076</v>
      </c>
      <c r="F61" s="26" t="s">
        <v>1303</v>
      </c>
      <c r="G61" s="16" t="s">
        <v>1304</v>
      </c>
      <c r="H61" s="31">
        <v>15.1</v>
      </c>
      <c r="I61" s="31">
        <v>17.399999999999999</v>
      </c>
      <c r="J61" s="16" t="s">
        <v>40</v>
      </c>
    </row>
    <row r="62" spans="1:10">
      <c r="A62" s="19">
        <v>58</v>
      </c>
      <c r="B62" s="16" t="s">
        <v>1330</v>
      </c>
      <c r="C62" s="16" t="s">
        <v>1391</v>
      </c>
      <c r="D62" s="24" t="s">
        <v>1392</v>
      </c>
      <c r="E62" s="25">
        <v>644</v>
      </c>
      <c r="F62" s="26" t="s">
        <v>1303</v>
      </c>
      <c r="G62" s="16" t="s">
        <v>1304</v>
      </c>
      <c r="H62" s="31">
        <v>24.5</v>
      </c>
      <c r="I62" s="31">
        <v>23.7</v>
      </c>
      <c r="J62" s="16" t="s">
        <v>40</v>
      </c>
    </row>
    <row r="63" spans="1:10">
      <c r="A63" s="19">
        <v>59</v>
      </c>
      <c r="B63" s="16" t="s">
        <v>1330</v>
      </c>
      <c r="C63" s="16" t="s">
        <v>1393</v>
      </c>
      <c r="D63" s="24" t="s">
        <v>1394</v>
      </c>
      <c r="E63" s="25">
        <v>847</v>
      </c>
      <c r="F63" s="26" t="s">
        <v>1303</v>
      </c>
      <c r="G63" s="16" t="s">
        <v>1304</v>
      </c>
      <c r="H63" s="31">
        <v>11</v>
      </c>
      <c r="I63" s="31">
        <v>10.6</v>
      </c>
      <c r="J63" s="16" t="s">
        <v>40</v>
      </c>
    </row>
    <row r="64" spans="1:10">
      <c r="A64" s="19">
        <v>60</v>
      </c>
      <c r="B64" s="16" t="s">
        <v>1330</v>
      </c>
      <c r="C64" s="16" t="s">
        <v>1395</v>
      </c>
      <c r="D64" s="24" t="s">
        <v>1396</v>
      </c>
      <c r="E64" s="25">
        <v>619</v>
      </c>
      <c r="F64" s="26" t="s">
        <v>1303</v>
      </c>
      <c r="G64" s="16" t="s">
        <v>1304</v>
      </c>
      <c r="H64" s="31">
        <v>16.399999999999999</v>
      </c>
      <c r="I64" s="31">
        <v>19.5</v>
      </c>
      <c r="J64" s="16" t="s">
        <v>40</v>
      </c>
    </row>
    <row r="65" spans="1:10">
      <c r="A65" s="19">
        <v>61</v>
      </c>
      <c r="B65" s="16" t="s">
        <v>1330</v>
      </c>
      <c r="C65" s="16" t="s">
        <v>1397</v>
      </c>
      <c r="D65" s="24" t="s">
        <v>1398</v>
      </c>
      <c r="E65" s="25">
        <v>2669</v>
      </c>
      <c r="F65" s="26" t="s">
        <v>1303</v>
      </c>
      <c r="G65" s="16" t="s">
        <v>1304</v>
      </c>
      <c r="H65" s="31">
        <v>13</v>
      </c>
      <c r="I65" s="31">
        <v>13.8</v>
      </c>
      <c r="J65" s="16" t="s">
        <v>40</v>
      </c>
    </row>
    <row r="66" spans="1:10">
      <c r="A66" s="19">
        <v>62</v>
      </c>
      <c r="B66" s="16" t="s">
        <v>1330</v>
      </c>
      <c r="C66" s="16" t="s">
        <v>1399</v>
      </c>
      <c r="D66" s="24" t="s">
        <v>1400</v>
      </c>
      <c r="E66" s="25">
        <v>978</v>
      </c>
      <c r="F66" s="26" t="s">
        <v>1303</v>
      </c>
      <c r="G66" s="16" t="s">
        <v>1304</v>
      </c>
      <c r="H66" s="31">
        <v>18.7</v>
      </c>
      <c r="I66" s="31">
        <v>21.9</v>
      </c>
      <c r="J66" s="16" t="s">
        <v>40</v>
      </c>
    </row>
    <row r="67" spans="1:10">
      <c r="A67" s="19">
        <v>63</v>
      </c>
      <c r="B67" s="16" t="s">
        <v>1330</v>
      </c>
      <c r="C67" s="16" t="s">
        <v>1401</v>
      </c>
      <c r="D67" s="24" t="s">
        <v>1402</v>
      </c>
      <c r="E67" s="25">
        <v>876</v>
      </c>
      <c r="F67" s="26" t="s">
        <v>1303</v>
      </c>
      <c r="G67" s="16" t="s">
        <v>1304</v>
      </c>
      <c r="H67" s="31">
        <v>20.9</v>
      </c>
      <c r="I67" s="31">
        <v>23.1</v>
      </c>
      <c r="J67" s="16" t="s">
        <v>40</v>
      </c>
    </row>
    <row r="68" spans="1:10">
      <c r="A68" s="19">
        <v>64</v>
      </c>
      <c r="B68" s="16" t="s">
        <v>1330</v>
      </c>
      <c r="C68" s="16" t="s">
        <v>1403</v>
      </c>
      <c r="D68" s="24" t="s">
        <v>1404</v>
      </c>
      <c r="E68" s="25">
        <v>855</v>
      </c>
      <c r="F68" s="26" t="s">
        <v>1303</v>
      </c>
      <c r="G68" s="16" t="s">
        <v>1304</v>
      </c>
      <c r="H68" s="31">
        <v>29.3</v>
      </c>
      <c r="I68" s="31">
        <v>29</v>
      </c>
      <c r="J68" s="16" t="s">
        <v>40</v>
      </c>
    </row>
    <row r="69" spans="1:10">
      <c r="A69" s="19">
        <v>65</v>
      </c>
      <c r="B69" s="16" t="s">
        <v>1405</v>
      </c>
      <c r="C69" s="16" t="s">
        <v>1406</v>
      </c>
      <c r="D69" s="24" t="s">
        <v>1407</v>
      </c>
      <c r="E69" s="25">
        <v>611</v>
      </c>
      <c r="F69" s="26" t="s">
        <v>1303</v>
      </c>
      <c r="G69" s="16" t="s">
        <v>1304</v>
      </c>
      <c r="H69" s="31">
        <v>27.4</v>
      </c>
      <c r="I69" s="31">
        <v>28.4</v>
      </c>
      <c r="J69" s="16" t="s">
        <v>40</v>
      </c>
    </row>
    <row r="70" spans="1:10">
      <c r="A70" s="19">
        <v>66</v>
      </c>
      <c r="B70" s="16" t="s">
        <v>1405</v>
      </c>
      <c r="C70" s="16" t="s">
        <v>1408</v>
      </c>
      <c r="D70" s="24" t="s">
        <v>1409</v>
      </c>
      <c r="E70" s="25">
        <v>1920</v>
      </c>
      <c r="F70" s="26" t="s">
        <v>1303</v>
      </c>
      <c r="G70" s="16" t="s">
        <v>1304</v>
      </c>
      <c r="H70" s="31">
        <v>34.700000000000003</v>
      </c>
      <c r="I70" s="31">
        <v>40.200000000000003</v>
      </c>
      <c r="J70" s="16" t="s">
        <v>40</v>
      </c>
    </row>
    <row r="71" spans="1:10">
      <c r="A71" s="19">
        <v>67</v>
      </c>
      <c r="B71" s="16" t="s">
        <v>1405</v>
      </c>
      <c r="C71" s="16" t="s">
        <v>1410</v>
      </c>
      <c r="D71" s="24" t="s">
        <v>1411</v>
      </c>
      <c r="E71" s="25">
        <v>339</v>
      </c>
      <c r="F71" s="26" t="s">
        <v>1303</v>
      </c>
      <c r="G71" s="16" t="s">
        <v>1304</v>
      </c>
      <c r="H71" s="31">
        <v>30.2</v>
      </c>
      <c r="I71" s="31">
        <v>34</v>
      </c>
      <c r="J71" s="16" t="s">
        <v>40</v>
      </c>
    </row>
    <row r="72" spans="1:10">
      <c r="A72" s="19">
        <v>68</v>
      </c>
      <c r="B72" s="16" t="s">
        <v>1405</v>
      </c>
      <c r="C72" s="16" t="s">
        <v>1412</v>
      </c>
      <c r="D72" s="24" t="s">
        <v>1413</v>
      </c>
      <c r="E72" s="25">
        <v>695</v>
      </c>
      <c r="F72" s="26" t="s">
        <v>1303</v>
      </c>
      <c r="G72" s="16" t="s">
        <v>1304</v>
      </c>
      <c r="H72" s="31">
        <v>31.6</v>
      </c>
      <c r="I72" s="31">
        <v>32.700000000000003</v>
      </c>
      <c r="J72" s="16" t="s">
        <v>40</v>
      </c>
    </row>
    <row r="73" spans="1:10">
      <c r="A73" s="19">
        <v>69</v>
      </c>
      <c r="B73" s="16" t="s">
        <v>1405</v>
      </c>
      <c r="C73" s="16" t="s">
        <v>1414</v>
      </c>
      <c r="D73" s="24" t="s">
        <v>1415</v>
      </c>
      <c r="E73" s="25">
        <v>833</v>
      </c>
      <c r="F73" s="26" t="s">
        <v>1303</v>
      </c>
      <c r="G73" s="16" t="s">
        <v>1304</v>
      </c>
      <c r="H73" s="31">
        <v>33.4</v>
      </c>
      <c r="I73" s="31">
        <v>39.4</v>
      </c>
      <c r="J73" s="16" t="s">
        <v>40</v>
      </c>
    </row>
    <row r="74" spans="1:10">
      <c r="A74" s="19">
        <v>70</v>
      </c>
      <c r="B74" s="16" t="s">
        <v>1405</v>
      </c>
      <c r="C74" s="16" t="s">
        <v>1416</v>
      </c>
      <c r="D74" s="24" t="s">
        <v>1417</v>
      </c>
      <c r="E74" s="25">
        <v>682</v>
      </c>
      <c r="F74" s="26" t="s">
        <v>1303</v>
      </c>
      <c r="G74" s="16" t="s">
        <v>1304</v>
      </c>
      <c r="H74" s="31">
        <v>38.700000000000003</v>
      </c>
      <c r="I74" s="31">
        <v>47.3</v>
      </c>
      <c r="J74" s="16" t="s">
        <v>40</v>
      </c>
    </row>
    <row r="75" spans="1:10">
      <c r="A75" s="19">
        <v>71</v>
      </c>
      <c r="B75" s="16" t="s">
        <v>1405</v>
      </c>
      <c r="C75" s="16" t="s">
        <v>1418</v>
      </c>
      <c r="D75" s="24" t="s">
        <v>1419</v>
      </c>
      <c r="E75" s="25">
        <v>413</v>
      </c>
      <c r="F75" s="26" t="s">
        <v>1303</v>
      </c>
      <c r="G75" s="16" t="s">
        <v>1304</v>
      </c>
      <c r="H75" s="31">
        <v>32.299999999999997</v>
      </c>
      <c r="I75" s="31">
        <v>36.1</v>
      </c>
      <c r="J75" s="16" t="s">
        <v>40</v>
      </c>
    </row>
    <row r="76" spans="1:10">
      <c r="A76" s="19">
        <v>72</v>
      </c>
      <c r="B76" s="16" t="s">
        <v>1405</v>
      </c>
      <c r="C76" s="16" t="s">
        <v>1420</v>
      </c>
      <c r="D76" s="24" t="s">
        <v>1421</v>
      </c>
      <c r="E76" s="25">
        <v>375</v>
      </c>
      <c r="F76" s="26" t="s">
        <v>1303</v>
      </c>
      <c r="G76" s="16" t="s">
        <v>1304</v>
      </c>
      <c r="H76" s="31">
        <v>38.6</v>
      </c>
      <c r="I76" s="31">
        <v>42.7</v>
      </c>
      <c r="J76" s="16" t="s">
        <v>40</v>
      </c>
    </row>
    <row r="77" spans="1:10">
      <c r="A77" s="19">
        <v>73</v>
      </c>
      <c r="B77" s="16" t="s">
        <v>1405</v>
      </c>
      <c r="C77" s="16" t="s">
        <v>1422</v>
      </c>
      <c r="D77" s="24" t="s">
        <v>1423</v>
      </c>
      <c r="E77" s="25">
        <v>801</v>
      </c>
      <c r="F77" s="26" t="s">
        <v>1303</v>
      </c>
      <c r="G77" s="16" t="s">
        <v>1304</v>
      </c>
      <c r="H77" s="31">
        <v>37.4</v>
      </c>
      <c r="I77" s="31">
        <v>43.5</v>
      </c>
      <c r="J77" s="16" t="s">
        <v>40</v>
      </c>
    </row>
    <row r="78" spans="1:10">
      <c r="A78" s="19">
        <v>74</v>
      </c>
      <c r="B78" s="16" t="s">
        <v>1405</v>
      </c>
      <c r="C78" s="16" t="s">
        <v>1424</v>
      </c>
      <c r="D78" s="24" t="s">
        <v>1425</v>
      </c>
      <c r="E78" s="25">
        <v>970</v>
      </c>
      <c r="F78" s="26" t="s">
        <v>1303</v>
      </c>
      <c r="G78" s="16" t="s">
        <v>1304</v>
      </c>
      <c r="H78" s="31">
        <v>43.4</v>
      </c>
      <c r="I78" s="31">
        <v>49</v>
      </c>
      <c r="J78" s="16" t="s">
        <v>40</v>
      </c>
    </row>
    <row r="79" spans="1:10">
      <c r="A79" s="19">
        <v>75</v>
      </c>
      <c r="B79" s="16" t="s">
        <v>1405</v>
      </c>
      <c r="C79" s="16" t="s">
        <v>1426</v>
      </c>
      <c r="D79" s="24" t="s">
        <v>1427</v>
      </c>
      <c r="E79" s="25">
        <v>1289</v>
      </c>
      <c r="F79" s="26" t="s">
        <v>700</v>
      </c>
      <c r="G79" s="16" t="s">
        <v>701</v>
      </c>
      <c r="H79" s="31">
        <v>48.6</v>
      </c>
      <c r="I79" s="31">
        <v>59.3</v>
      </c>
      <c r="J79" s="16" t="s">
        <v>40</v>
      </c>
    </row>
    <row r="80" spans="1:10">
      <c r="A80" s="19">
        <v>76</v>
      </c>
      <c r="B80" s="16" t="s">
        <v>1405</v>
      </c>
      <c r="C80" s="16" t="s">
        <v>1428</v>
      </c>
      <c r="D80" s="24" t="s">
        <v>1429</v>
      </c>
      <c r="E80" s="25">
        <v>874</v>
      </c>
      <c r="F80" s="26" t="s">
        <v>700</v>
      </c>
      <c r="G80" s="16" t="s">
        <v>701</v>
      </c>
      <c r="H80" s="31">
        <v>54.8</v>
      </c>
      <c r="I80" s="31">
        <v>66</v>
      </c>
      <c r="J80" s="16" t="s">
        <v>40</v>
      </c>
    </row>
    <row r="81" spans="1:10">
      <c r="A81" s="19">
        <v>77</v>
      </c>
      <c r="B81" s="16" t="s">
        <v>1405</v>
      </c>
      <c r="C81" s="16" t="s">
        <v>1430</v>
      </c>
      <c r="D81" s="24" t="s">
        <v>1431</v>
      </c>
      <c r="E81" s="25">
        <v>1818</v>
      </c>
      <c r="F81" s="26" t="s">
        <v>700</v>
      </c>
      <c r="G81" s="16" t="s">
        <v>701</v>
      </c>
      <c r="H81" s="31">
        <v>41.5</v>
      </c>
      <c r="I81" s="31">
        <v>50.8</v>
      </c>
      <c r="J81" s="16" t="s">
        <v>40</v>
      </c>
    </row>
    <row r="82" spans="1:10">
      <c r="A82" s="19">
        <v>78</v>
      </c>
      <c r="B82" s="16" t="s">
        <v>1405</v>
      </c>
      <c r="C82" s="16" t="s">
        <v>1432</v>
      </c>
      <c r="D82" s="24" t="s">
        <v>1433</v>
      </c>
      <c r="E82" s="25">
        <v>839</v>
      </c>
      <c r="F82" s="26" t="s">
        <v>1303</v>
      </c>
      <c r="G82" s="16" t="s">
        <v>1304</v>
      </c>
      <c r="H82" s="31">
        <v>26.8</v>
      </c>
      <c r="I82" s="31">
        <v>29.5</v>
      </c>
      <c r="J82" s="16" t="s">
        <v>40</v>
      </c>
    </row>
    <row r="83" spans="1:10">
      <c r="A83" s="19">
        <v>79</v>
      </c>
      <c r="B83" s="16" t="s">
        <v>1405</v>
      </c>
      <c r="C83" s="16" t="s">
        <v>1434</v>
      </c>
      <c r="D83" s="24" t="s">
        <v>1435</v>
      </c>
      <c r="E83" s="25">
        <v>1130</v>
      </c>
      <c r="F83" s="26" t="s">
        <v>1303</v>
      </c>
      <c r="G83" s="16" t="s">
        <v>1304</v>
      </c>
      <c r="H83" s="31">
        <v>39.4</v>
      </c>
      <c r="I83" s="31">
        <v>44.5</v>
      </c>
      <c r="J83" s="16" t="s">
        <v>40</v>
      </c>
    </row>
    <row r="84" spans="1:10">
      <c r="A84" s="19">
        <v>80</v>
      </c>
      <c r="B84" s="16" t="s">
        <v>1405</v>
      </c>
      <c r="C84" s="16" t="s">
        <v>619</v>
      </c>
      <c r="D84" s="24" t="s">
        <v>1436</v>
      </c>
      <c r="E84" s="25">
        <v>567</v>
      </c>
      <c r="F84" s="26" t="s">
        <v>1303</v>
      </c>
      <c r="G84" s="16" t="s">
        <v>1304</v>
      </c>
      <c r="H84" s="31">
        <v>37.700000000000003</v>
      </c>
      <c r="I84" s="31">
        <v>42</v>
      </c>
      <c r="J84" s="16" t="s">
        <v>40</v>
      </c>
    </row>
    <row r="85" spans="1:10">
      <c r="A85" s="19">
        <v>81</v>
      </c>
      <c r="B85" s="16" t="s">
        <v>1405</v>
      </c>
      <c r="C85" s="16" t="s">
        <v>1437</v>
      </c>
      <c r="D85" s="24" t="s">
        <v>1438</v>
      </c>
      <c r="E85" s="25">
        <v>1432</v>
      </c>
      <c r="F85" s="26" t="s">
        <v>573</v>
      </c>
      <c r="G85" s="16" t="s">
        <v>574</v>
      </c>
      <c r="H85" s="31">
        <v>43.6</v>
      </c>
      <c r="I85" s="31">
        <v>50.3</v>
      </c>
      <c r="J85" s="16" t="s">
        <v>40</v>
      </c>
    </row>
    <row r="86" spans="1:10">
      <c r="A86" s="19">
        <v>82</v>
      </c>
      <c r="B86" s="16" t="s">
        <v>1405</v>
      </c>
      <c r="C86" s="16" t="s">
        <v>1439</v>
      </c>
      <c r="D86" s="24" t="s">
        <v>1440</v>
      </c>
      <c r="E86" s="25">
        <v>367</v>
      </c>
      <c r="F86" s="26" t="s">
        <v>700</v>
      </c>
      <c r="G86" s="16" t="s">
        <v>701</v>
      </c>
      <c r="H86" s="31">
        <v>51.4</v>
      </c>
      <c r="I86" s="31">
        <v>60.3</v>
      </c>
      <c r="J86" s="16" t="s">
        <v>40</v>
      </c>
    </row>
    <row r="87" spans="1:10">
      <c r="A87" s="19">
        <v>83</v>
      </c>
      <c r="B87" s="16" t="s">
        <v>1405</v>
      </c>
      <c r="C87" s="16" t="s">
        <v>1441</v>
      </c>
      <c r="D87" s="24" t="s">
        <v>1442</v>
      </c>
      <c r="E87" s="25">
        <v>1416</v>
      </c>
      <c r="F87" s="26" t="s">
        <v>700</v>
      </c>
      <c r="G87" s="16" t="s">
        <v>701</v>
      </c>
      <c r="H87" s="31">
        <v>56.8</v>
      </c>
      <c r="I87" s="31">
        <v>66.2</v>
      </c>
      <c r="J87" s="16" t="s">
        <v>40</v>
      </c>
    </row>
    <row r="88" spans="1:10">
      <c r="A88" s="19">
        <v>84</v>
      </c>
      <c r="B88" s="16" t="s">
        <v>1405</v>
      </c>
      <c r="C88" s="16" t="s">
        <v>1443</v>
      </c>
      <c r="D88" s="24" t="s">
        <v>1444</v>
      </c>
      <c r="E88" s="25">
        <v>536</v>
      </c>
      <c r="F88" s="26" t="s">
        <v>573</v>
      </c>
      <c r="G88" s="16" t="s">
        <v>574</v>
      </c>
      <c r="H88" s="31">
        <v>49.1</v>
      </c>
      <c r="I88" s="31">
        <v>36.799999999999997</v>
      </c>
      <c r="J88" s="16" t="s">
        <v>293</v>
      </c>
    </row>
    <row r="89" spans="1:10">
      <c r="A89" s="19">
        <v>85</v>
      </c>
      <c r="B89" s="16" t="s">
        <v>1405</v>
      </c>
      <c r="C89" s="16" t="s">
        <v>1445</v>
      </c>
      <c r="D89" s="24" t="s">
        <v>1446</v>
      </c>
      <c r="E89" s="25">
        <v>9380</v>
      </c>
      <c r="F89" s="26" t="s">
        <v>1303</v>
      </c>
      <c r="G89" s="16" t="s">
        <v>1304</v>
      </c>
      <c r="H89" s="31">
        <v>47.8</v>
      </c>
      <c r="I89" s="31">
        <v>56.9</v>
      </c>
      <c r="J89" s="16" t="s">
        <v>40</v>
      </c>
    </row>
    <row r="90" spans="1:10">
      <c r="A90" s="19">
        <v>86</v>
      </c>
      <c r="B90" s="16" t="s">
        <v>1405</v>
      </c>
      <c r="C90" s="16" t="s">
        <v>1447</v>
      </c>
      <c r="D90" s="24" t="s">
        <v>1448</v>
      </c>
      <c r="E90" s="25">
        <v>368</v>
      </c>
      <c r="F90" s="26" t="s">
        <v>1303</v>
      </c>
      <c r="G90" s="16" t="s">
        <v>1304</v>
      </c>
      <c r="H90" s="31">
        <v>28.3</v>
      </c>
      <c r="I90" s="31">
        <v>28.5</v>
      </c>
      <c r="J90" s="16" t="s">
        <v>40</v>
      </c>
    </row>
    <row r="91" spans="1:10">
      <c r="A91" s="19">
        <v>87</v>
      </c>
      <c r="B91" s="16" t="s">
        <v>1405</v>
      </c>
      <c r="C91" s="16" t="s">
        <v>1449</v>
      </c>
      <c r="D91" s="24" t="s">
        <v>1450</v>
      </c>
      <c r="E91" s="25">
        <v>891</v>
      </c>
      <c r="F91" s="26" t="s">
        <v>700</v>
      </c>
      <c r="G91" s="16" t="s">
        <v>701</v>
      </c>
      <c r="H91" s="31">
        <v>48.4</v>
      </c>
      <c r="I91" s="31">
        <v>57.3</v>
      </c>
      <c r="J91" s="16" t="s">
        <v>40</v>
      </c>
    </row>
    <row r="92" spans="1:10">
      <c r="A92" s="19">
        <v>88</v>
      </c>
      <c r="B92" s="16" t="s">
        <v>1405</v>
      </c>
      <c r="C92" s="16" t="s">
        <v>1451</v>
      </c>
      <c r="D92" s="24" t="s">
        <v>1452</v>
      </c>
      <c r="E92" s="25">
        <v>1188</v>
      </c>
      <c r="F92" s="26" t="s">
        <v>573</v>
      </c>
      <c r="G92" s="16" t="s">
        <v>574</v>
      </c>
      <c r="H92" s="31">
        <v>43.2</v>
      </c>
      <c r="I92" s="31">
        <v>49.7</v>
      </c>
      <c r="J92" s="16" t="s">
        <v>40</v>
      </c>
    </row>
    <row r="93" spans="1:10">
      <c r="A93" s="19">
        <v>89</v>
      </c>
      <c r="B93" s="16" t="s">
        <v>1405</v>
      </c>
      <c r="C93" s="16" t="s">
        <v>1453</v>
      </c>
      <c r="D93" s="24" t="s">
        <v>1454</v>
      </c>
      <c r="E93" s="25">
        <v>509</v>
      </c>
      <c r="F93" s="26" t="s">
        <v>1303</v>
      </c>
      <c r="G93" s="16" t="s">
        <v>1304</v>
      </c>
      <c r="H93" s="31">
        <v>36.1</v>
      </c>
      <c r="I93" s="31">
        <v>39.5</v>
      </c>
      <c r="J93" s="16" t="s">
        <v>40</v>
      </c>
    </row>
    <row r="94" spans="1:10">
      <c r="A94" s="19">
        <v>90</v>
      </c>
      <c r="B94" s="16" t="s">
        <v>390</v>
      </c>
      <c r="C94" s="16" t="s">
        <v>1455</v>
      </c>
      <c r="D94" s="24" t="s">
        <v>1456</v>
      </c>
      <c r="E94" s="25">
        <v>660</v>
      </c>
      <c r="F94" s="26" t="s">
        <v>139</v>
      </c>
      <c r="G94" s="16" t="s">
        <v>140</v>
      </c>
      <c r="H94" s="31">
        <v>36</v>
      </c>
      <c r="I94" s="31">
        <v>42.2</v>
      </c>
      <c r="J94" s="16" t="s">
        <v>40</v>
      </c>
    </row>
    <row r="95" spans="1:10">
      <c r="A95" s="19">
        <v>91</v>
      </c>
      <c r="B95" s="16" t="s">
        <v>390</v>
      </c>
      <c r="C95" s="16" t="s">
        <v>1457</v>
      </c>
      <c r="D95" s="24" t="s">
        <v>1458</v>
      </c>
      <c r="E95" s="25">
        <v>1765</v>
      </c>
      <c r="F95" s="26" t="s">
        <v>1303</v>
      </c>
      <c r="G95" s="16" t="s">
        <v>1304</v>
      </c>
      <c r="H95" s="31">
        <v>25.9</v>
      </c>
      <c r="I95" s="31">
        <v>28.8</v>
      </c>
      <c r="J95" s="16" t="s">
        <v>40</v>
      </c>
    </row>
    <row r="96" spans="1:10">
      <c r="A96" s="19">
        <v>92</v>
      </c>
      <c r="B96" s="16" t="s">
        <v>390</v>
      </c>
      <c r="C96" s="16" t="s">
        <v>1459</v>
      </c>
      <c r="D96" s="24" t="s">
        <v>1460</v>
      </c>
      <c r="E96" s="25">
        <v>536</v>
      </c>
      <c r="F96" s="26" t="s">
        <v>1303</v>
      </c>
      <c r="G96" s="16" t="s">
        <v>1304</v>
      </c>
      <c r="H96" s="31">
        <v>27.2</v>
      </c>
      <c r="I96" s="31">
        <v>30.7</v>
      </c>
      <c r="J96" s="16" t="s">
        <v>40</v>
      </c>
    </row>
    <row r="97" spans="1:10">
      <c r="A97" s="19">
        <v>93</v>
      </c>
      <c r="B97" s="16" t="s">
        <v>390</v>
      </c>
      <c r="C97" s="16" t="s">
        <v>1461</v>
      </c>
      <c r="D97" s="24" t="s">
        <v>1462</v>
      </c>
      <c r="E97" s="25">
        <v>1935</v>
      </c>
      <c r="F97" s="26" t="s">
        <v>1303</v>
      </c>
      <c r="G97" s="16" t="s">
        <v>1304</v>
      </c>
      <c r="H97" s="31">
        <v>25.1</v>
      </c>
      <c r="I97" s="31">
        <v>27.2</v>
      </c>
      <c r="J97" s="16" t="s">
        <v>40</v>
      </c>
    </row>
    <row r="98" spans="1:10">
      <c r="A98" s="19">
        <v>94</v>
      </c>
      <c r="B98" s="16" t="s">
        <v>390</v>
      </c>
      <c r="C98" s="16" t="s">
        <v>1463</v>
      </c>
      <c r="D98" s="24" t="s">
        <v>1464</v>
      </c>
      <c r="E98" s="25">
        <v>532</v>
      </c>
      <c r="F98" s="26" t="s">
        <v>1303</v>
      </c>
      <c r="G98" s="16" t="s">
        <v>1304</v>
      </c>
      <c r="H98" s="31">
        <v>28.5</v>
      </c>
      <c r="I98" s="31">
        <v>32.5</v>
      </c>
      <c r="J98" s="16" t="s">
        <v>40</v>
      </c>
    </row>
    <row r="99" spans="1:10">
      <c r="A99" s="19">
        <v>95</v>
      </c>
      <c r="B99" s="16" t="s">
        <v>1465</v>
      </c>
      <c r="C99" s="16" t="s">
        <v>415</v>
      </c>
      <c r="D99" s="24"/>
      <c r="E99" s="25">
        <v>0</v>
      </c>
      <c r="F99" s="26" t="s">
        <v>1303</v>
      </c>
      <c r="G99" s="16" t="s">
        <v>1304</v>
      </c>
      <c r="H99" s="31">
        <v>27.3</v>
      </c>
      <c r="I99" s="31">
        <v>30.8</v>
      </c>
      <c r="J99" s="16" t="s">
        <v>40</v>
      </c>
    </row>
    <row r="100" spans="1:10">
      <c r="A100" s="19">
        <v>96</v>
      </c>
      <c r="B100" s="16" t="s">
        <v>1465</v>
      </c>
      <c r="C100" s="16" t="s">
        <v>415</v>
      </c>
      <c r="D100" s="24"/>
      <c r="E100" s="25">
        <v>0</v>
      </c>
      <c r="F100" s="26" t="s">
        <v>1303</v>
      </c>
      <c r="G100" s="16" t="s">
        <v>1304</v>
      </c>
      <c r="H100" s="31">
        <v>27.5</v>
      </c>
      <c r="I100" s="31">
        <v>31.1</v>
      </c>
      <c r="J100" s="16" t="s">
        <v>40</v>
      </c>
    </row>
    <row r="101" spans="1:10">
      <c r="A101" s="19">
        <v>97</v>
      </c>
      <c r="B101" s="16" t="s">
        <v>390</v>
      </c>
      <c r="C101" s="16" t="s">
        <v>1466</v>
      </c>
      <c r="D101" s="24" t="s">
        <v>1467</v>
      </c>
      <c r="E101" s="25">
        <v>972</v>
      </c>
      <c r="F101" s="26" t="s">
        <v>1303</v>
      </c>
      <c r="G101" s="16" t="s">
        <v>1304</v>
      </c>
      <c r="H101" s="31">
        <v>22.9</v>
      </c>
      <c r="I101" s="31">
        <v>24.6</v>
      </c>
      <c r="J101" s="16" t="s">
        <v>40</v>
      </c>
    </row>
    <row r="102" spans="1:10">
      <c r="A102" s="19">
        <v>98</v>
      </c>
      <c r="B102" s="16" t="s">
        <v>390</v>
      </c>
      <c r="C102" s="16" t="s">
        <v>1468</v>
      </c>
      <c r="D102" s="24" t="s">
        <v>1469</v>
      </c>
      <c r="E102" s="25">
        <v>982</v>
      </c>
      <c r="F102" s="26" t="s">
        <v>1303</v>
      </c>
      <c r="G102" s="16" t="s">
        <v>1304</v>
      </c>
      <c r="H102" s="31">
        <v>28.1</v>
      </c>
      <c r="I102" s="31">
        <v>32.1</v>
      </c>
      <c r="J102" s="16" t="s">
        <v>40</v>
      </c>
    </row>
    <row r="103" spans="1:10">
      <c r="A103" s="19">
        <v>99</v>
      </c>
      <c r="B103" s="16" t="s">
        <v>390</v>
      </c>
      <c r="C103" s="16" t="s">
        <v>1470</v>
      </c>
      <c r="D103" s="24" t="s">
        <v>1471</v>
      </c>
      <c r="E103" s="25">
        <v>985</v>
      </c>
      <c r="F103" s="26" t="s">
        <v>139</v>
      </c>
      <c r="G103" s="16" t="s">
        <v>140</v>
      </c>
      <c r="H103" s="31">
        <v>39.799999999999997</v>
      </c>
      <c r="I103" s="31">
        <v>46.8</v>
      </c>
      <c r="J103" s="16" t="s">
        <v>40</v>
      </c>
    </row>
    <row r="104" spans="1:10">
      <c r="A104" s="19">
        <v>100</v>
      </c>
      <c r="B104" s="16" t="s">
        <v>390</v>
      </c>
      <c r="C104" s="16" t="s">
        <v>1472</v>
      </c>
      <c r="D104" s="24" t="s">
        <v>1473</v>
      </c>
      <c r="E104" s="25">
        <v>2093</v>
      </c>
      <c r="F104" s="26" t="s">
        <v>139</v>
      </c>
      <c r="G104" s="16" t="s">
        <v>140</v>
      </c>
      <c r="H104" s="31">
        <v>33.4</v>
      </c>
      <c r="I104" s="31">
        <v>39.5</v>
      </c>
      <c r="J104" s="16" t="s">
        <v>40</v>
      </c>
    </row>
    <row r="105" spans="1:10">
      <c r="A105" s="19">
        <v>101</v>
      </c>
      <c r="B105" s="16" t="s">
        <v>1257</v>
      </c>
      <c r="C105" s="16" t="s">
        <v>1474</v>
      </c>
      <c r="D105" s="24" t="s">
        <v>1475</v>
      </c>
      <c r="E105" s="25">
        <v>803</v>
      </c>
      <c r="F105" s="26" t="s">
        <v>700</v>
      </c>
      <c r="G105" s="16" t="s">
        <v>701</v>
      </c>
      <c r="H105" s="31">
        <v>59.7</v>
      </c>
      <c r="I105" s="31">
        <v>74</v>
      </c>
      <c r="J105" s="16" t="s">
        <v>40</v>
      </c>
    </row>
    <row r="106" spans="1:10">
      <c r="A106" s="19">
        <v>102</v>
      </c>
      <c r="B106" s="16" t="s">
        <v>1257</v>
      </c>
      <c r="C106" s="16" t="s">
        <v>1476</v>
      </c>
      <c r="D106" s="24" t="s">
        <v>1477</v>
      </c>
      <c r="E106" s="25">
        <v>1359</v>
      </c>
      <c r="F106" s="26" t="s">
        <v>700</v>
      </c>
      <c r="G106" s="16" t="s">
        <v>701</v>
      </c>
      <c r="H106" s="31">
        <v>61.2</v>
      </c>
      <c r="I106" s="31">
        <v>74.3</v>
      </c>
      <c r="J106" s="16" t="s">
        <v>40</v>
      </c>
    </row>
    <row r="107" spans="1:10">
      <c r="A107" s="19">
        <v>103</v>
      </c>
      <c r="B107" s="16" t="s">
        <v>1257</v>
      </c>
      <c r="C107" s="16" t="s">
        <v>1478</v>
      </c>
      <c r="D107" s="24" t="s">
        <v>1479</v>
      </c>
      <c r="E107" s="25">
        <v>464</v>
      </c>
      <c r="F107" s="26" t="s">
        <v>700</v>
      </c>
      <c r="G107" s="16" t="s">
        <v>701</v>
      </c>
      <c r="H107" s="31">
        <v>49.3</v>
      </c>
      <c r="I107" s="31">
        <v>57</v>
      </c>
      <c r="J107" s="16" t="s">
        <v>40</v>
      </c>
    </row>
    <row r="108" spans="1:10">
      <c r="A108" s="19">
        <v>104</v>
      </c>
      <c r="B108" s="16" t="s">
        <v>1257</v>
      </c>
      <c r="C108" s="16" t="s">
        <v>1480</v>
      </c>
      <c r="D108" s="24" t="s">
        <v>1481</v>
      </c>
      <c r="E108" s="25">
        <v>908</v>
      </c>
      <c r="F108" s="26" t="s">
        <v>700</v>
      </c>
      <c r="G108" s="16" t="s">
        <v>701</v>
      </c>
      <c r="H108" s="31">
        <v>57.4</v>
      </c>
      <c r="I108" s="31">
        <v>65</v>
      </c>
      <c r="J108" s="16" t="s">
        <v>40</v>
      </c>
    </row>
    <row r="109" spans="1:10">
      <c r="A109" s="19">
        <v>105</v>
      </c>
      <c r="B109" s="16" t="s">
        <v>1257</v>
      </c>
      <c r="C109" s="16" t="s">
        <v>682</v>
      </c>
      <c r="D109" s="24" t="s">
        <v>1482</v>
      </c>
      <c r="E109" s="25">
        <v>507</v>
      </c>
      <c r="F109" s="26" t="s">
        <v>700</v>
      </c>
      <c r="G109" s="16" t="s">
        <v>701</v>
      </c>
      <c r="H109" s="31">
        <v>58.4</v>
      </c>
      <c r="I109" s="31">
        <v>70.7</v>
      </c>
      <c r="J109" s="16" t="s">
        <v>40</v>
      </c>
    </row>
    <row r="110" spans="1:10">
      <c r="A110" s="19">
        <v>106</v>
      </c>
      <c r="B110" s="16" t="s">
        <v>1257</v>
      </c>
      <c r="C110" s="16" t="s">
        <v>1483</v>
      </c>
      <c r="D110" s="24" t="s">
        <v>1484</v>
      </c>
      <c r="E110" s="25">
        <v>348</v>
      </c>
      <c r="F110" s="26" t="s">
        <v>700</v>
      </c>
      <c r="G110" s="16" t="s">
        <v>701</v>
      </c>
      <c r="H110" s="31">
        <v>53.2</v>
      </c>
      <c r="I110" s="31">
        <v>66.400000000000006</v>
      </c>
      <c r="J110" s="16" t="s">
        <v>40</v>
      </c>
    </row>
    <row r="111" spans="1:10">
      <c r="A111" s="19">
        <v>107</v>
      </c>
      <c r="B111" s="16" t="s">
        <v>1257</v>
      </c>
      <c r="C111" s="16" t="s">
        <v>1485</v>
      </c>
      <c r="D111" s="24" t="s">
        <v>1486</v>
      </c>
      <c r="E111" s="25">
        <v>1691</v>
      </c>
      <c r="F111" s="26" t="s">
        <v>700</v>
      </c>
      <c r="G111" s="16" t="s">
        <v>701</v>
      </c>
      <c r="H111" s="31">
        <v>54</v>
      </c>
      <c r="I111" s="31">
        <v>60.9</v>
      </c>
      <c r="J111" s="16" t="s">
        <v>40</v>
      </c>
    </row>
    <row r="112" spans="1:10">
      <c r="A112" s="19">
        <v>108</v>
      </c>
      <c r="B112" s="16" t="s">
        <v>1257</v>
      </c>
      <c r="C112" s="16" t="s">
        <v>1487</v>
      </c>
      <c r="D112" s="24" t="s">
        <v>1488</v>
      </c>
      <c r="E112" s="25">
        <v>4797</v>
      </c>
      <c r="F112" s="26" t="s">
        <v>700</v>
      </c>
      <c r="G112" s="16" t="s">
        <v>701</v>
      </c>
      <c r="H112" s="31">
        <v>47.8</v>
      </c>
      <c r="I112" s="31">
        <v>60</v>
      </c>
      <c r="J112" s="16" t="s">
        <v>40</v>
      </c>
    </row>
    <row r="113" spans="1:10">
      <c r="A113" s="19">
        <v>109</v>
      </c>
      <c r="B113" s="16" t="s">
        <v>1257</v>
      </c>
      <c r="C113" s="16" t="s">
        <v>1489</v>
      </c>
      <c r="D113" s="24" t="s">
        <v>1490</v>
      </c>
      <c r="E113" s="25">
        <v>541</v>
      </c>
      <c r="F113" s="26" t="s">
        <v>700</v>
      </c>
      <c r="G113" s="16" t="s">
        <v>701</v>
      </c>
      <c r="H113" s="31">
        <v>51.5</v>
      </c>
      <c r="I113" s="31">
        <v>63.7</v>
      </c>
      <c r="J113" s="16" t="s">
        <v>40</v>
      </c>
    </row>
    <row r="114" spans="1:10">
      <c r="A114" s="19">
        <v>110</v>
      </c>
      <c r="B114" s="16" t="s">
        <v>1257</v>
      </c>
      <c r="C114" s="16" t="s">
        <v>1491</v>
      </c>
      <c r="D114" s="24" t="s">
        <v>1492</v>
      </c>
      <c r="E114" s="25">
        <v>528</v>
      </c>
      <c r="F114" s="26" t="s">
        <v>700</v>
      </c>
      <c r="G114" s="16" t="s">
        <v>701</v>
      </c>
      <c r="H114" s="31">
        <v>63</v>
      </c>
      <c r="I114" s="31">
        <v>76</v>
      </c>
      <c r="J114" s="16" t="s">
        <v>40</v>
      </c>
    </row>
    <row r="115" spans="1:10">
      <c r="A115" s="19">
        <v>111</v>
      </c>
      <c r="B115" s="16" t="s">
        <v>1257</v>
      </c>
      <c r="C115" s="16" t="s">
        <v>1493</v>
      </c>
      <c r="D115" s="24" t="s">
        <v>1494</v>
      </c>
      <c r="E115" s="25">
        <v>1823</v>
      </c>
      <c r="F115" s="26" t="s">
        <v>700</v>
      </c>
      <c r="G115" s="16" t="s">
        <v>701</v>
      </c>
      <c r="H115" s="31">
        <v>52.1</v>
      </c>
      <c r="I115" s="31">
        <v>58.8</v>
      </c>
      <c r="J115" s="16" t="s">
        <v>40</v>
      </c>
    </row>
    <row r="116" spans="1:10">
      <c r="A116" s="19">
        <v>112</v>
      </c>
      <c r="B116" s="16" t="s">
        <v>1257</v>
      </c>
      <c r="C116" s="16" t="s">
        <v>1495</v>
      </c>
      <c r="D116" s="24" t="s">
        <v>1496</v>
      </c>
      <c r="E116" s="25">
        <v>808</v>
      </c>
      <c r="F116" s="26" t="s">
        <v>700</v>
      </c>
      <c r="G116" s="16" t="s">
        <v>701</v>
      </c>
      <c r="H116" s="31">
        <v>48.3</v>
      </c>
      <c r="I116" s="31">
        <v>54.8</v>
      </c>
      <c r="J116" s="16" t="s">
        <v>40</v>
      </c>
    </row>
    <row r="117" spans="1:10">
      <c r="A117" s="19">
        <v>113</v>
      </c>
      <c r="B117" s="16" t="s">
        <v>1257</v>
      </c>
      <c r="C117" s="16" t="s">
        <v>1497</v>
      </c>
      <c r="D117" s="24" t="s">
        <v>1498</v>
      </c>
      <c r="E117" s="25">
        <v>740</v>
      </c>
      <c r="F117" s="26" t="s">
        <v>700</v>
      </c>
      <c r="G117" s="16" t="s">
        <v>701</v>
      </c>
      <c r="H117" s="31">
        <v>54.3</v>
      </c>
      <c r="I117" s="31">
        <v>67</v>
      </c>
      <c r="J117" s="16" t="s">
        <v>40</v>
      </c>
    </row>
    <row r="118" spans="1:10">
      <c r="A118" s="19">
        <v>114</v>
      </c>
      <c r="B118" s="16" t="s">
        <v>1257</v>
      </c>
      <c r="C118" s="16" t="s">
        <v>1499</v>
      </c>
      <c r="D118" s="24" t="s">
        <v>1500</v>
      </c>
      <c r="E118" s="25">
        <v>491</v>
      </c>
      <c r="F118" s="26" t="s">
        <v>700</v>
      </c>
      <c r="G118" s="16" t="s">
        <v>701</v>
      </c>
      <c r="H118" s="31">
        <v>54.2</v>
      </c>
      <c r="I118" s="31">
        <v>66.8</v>
      </c>
      <c r="J118" s="16" t="s">
        <v>40</v>
      </c>
    </row>
    <row r="119" spans="1:10">
      <c r="A119" s="19">
        <v>115</v>
      </c>
      <c r="B119" s="16" t="s">
        <v>839</v>
      </c>
      <c r="C119" s="16" t="s">
        <v>1501</v>
      </c>
      <c r="D119" s="24" t="s">
        <v>1502</v>
      </c>
      <c r="E119" s="25">
        <v>336</v>
      </c>
      <c r="F119" s="26" t="s">
        <v>573</v>
      </c>
      <c r="G119" s="16" t="s">
        <v>574</v>
      </c>
      <c r="H119" s="31">
        <v>40.799999999999997</v>
      </c>
      <c r="I119" s="31">
        <v>43.2</v>
      </c>
      <c r="J119" s="16" t="s">
        <v>40</v>
      </c>
    </row>
    <row r="120" spans="1:10">
      <c r="A120" s="19">
        <v>116</v>
      </c>
      <c r="B120" s="16" t="s">
        <v>839</v>
      </c>
      <c r="C120" s="16" t="s">
        <v>1503</v>
      </c>
      <c r="D120" s="24" t="s">
        <v>1504</v>
      </c>
      <c r="E120" s="25">
        <v>1087</v>
      </c>
      <c r="F120" s="26" t="s">
        <v>573</v>
      </c>
      <c r="G120" s="16" t="s">
        <v>574</v>
      </c>
      <c r="H120" s="31">
        <v>40.6</v>
      </c>
      <c r="I120" s="31">
        <v>51.2</v>
      </c>
      <c r="J120" s="16" t="s">
        <v>40</v>
      </c>
    </row>
    <row r="121" spans="1:10">
      <c r="A121" s="19">
        <v>117</v>
      </c>
      <c r="B121" s="16" t="s">
        <v>839</v>
      </c>
      <c r="C121" s="16" t="s">
        <v>1505</v>
      </c>
      <c r="D121" s="24" t="s">
        <v>1506</v>
      </c>
      <c r="E121" s="25">
        <v>1928</v>
      </c>
      <c r="F121" s="26" t="s">
        <v>573</v>
      </c>
      <c r="G121" s="16" t="s">
        <v>574</v>
      </c>
      <c r="H121" s="31">
        <v>32.6</v>
      </c>
      <c r="I121" s="31">
        <v>37.6</v>
      </c>
      <c r="J121" s="16" t="s">
        <v>40</v>
      </c>
    </row>
    <row r="122" spans="1:10">
      <c r="A122" s="19">
        <v>118</v>
      </c>
      <c r="B122" s="16" t="s">
        <v>839</v>
      </c>
      <c r="C122" s="16" t="s">
        <v>1507</v>
      </c>
      <c r="D122" s="24" t="s">
        <v>1508</v>
      </c>
      <c r="E122" s="25">
        <v>1010</v>
      </c>
      <c r="F122" s="26" t="s">
        <v>573</v>
      </c>
      <c r="G122" s="16" t="s">
        <v>574</v>
      </c>
      <c r="H122" s="31">
        <v>40.4</v>
      </c>
      <c r="I122" s="31">
        <v>51</v>
      </c>
      <c r="J122" s="16" t="s">
        <v>40</v>
      </c>
    </row>
    <row r="123" spans="1:10">
      <c r="A123" s="19">
        <v>119</v>
      </c>
      <c r="B123" s="16" t="s">
        <v>839</v>
      </c>
      <c r="C123" s="16" t="s">
        <v>1509</v>
      </c>
      <c r="D123" s="24" t="s">
        <v>1510</v>
      </c>
      <c r="E123" s="25">
        <v>395</v>
      </c>
      <c r="F123" s="26" t="s">
        <v>573</v>
      </c>
      <c r="G123" s="16" t="s">
        <v>574</v>
      </c>
      <c r="H123" s="31">
        <v>24.8</v>
      </c>
      <c r="I123" s="31">
        <v>29.3</v>
      </c>
      <c r="J123" s="16" t="s">
        <v>40</v>
      </c>
    </row>
    <row r="124" spans="1:10">
      <c r="A124" s="19">
        <v>120</v>
      </c>
      <c r="B124" s="16" t="s">
        <v>839</v>
      </c>
      <c r="C124" s="16" t="s">
        <v>1511</v>
      </c>
      <c r="D124" s="24" t="s">
        <v>1512</v>
      </c>
      <c r="E124" s="25">
        <v>2185</v>
      </c>
      <c r="F124" s="26" t="s">
        <v>573</v>
      </c>
      <c r="G124" s="16" t="s">
        <v>574</v>
      </c>
      <c r="H124" s="31">
        <v>35.5</v>
      </c>
      <c r="I124" s="31">
        <v>44.2</v>
      </c>
      <c r="J124" s="16" t="s">
        <v>40</v>
      </c>
    </row>
    <row r="125" spans="1:10">
      <c r="A125" s="19">
        <v>121</v>
      </c>
      <c r="B125" s="16" t="s">
        <v>839</v>
      </c>
      <c r="C125" s="16" t="s">
        <v>1513</v>
      </c>
      <c r="D125" s="24" t="s">
        <v>1514</v>
      </c>
      <c r="E125" s="25">
        <v>1634</v>
      </c>
      <c r="F125" s="26" t="s">
        <v>573</v>
      </c>
      <c r="G125" s="16" t="s">
        <v>574</v>
      </c>
      <c r="H125" s="31">
        <v>41.1</v>
      </c>
      <c r="I125" s="31">
        <v>45.8</v>
      </c>
      <c r="J125" s="16" t="s">
        <v>40</v>
      </c>
    </row>
    <row r="126" spans="1:10">
      <c r="A126" s="19">
        <v>122</v>
      </c>
      <c r="B126" s="16" t="s">
        <v>839</v>
      </c>
      <c r="C126" s="16" t="s">
        <v>1515</v>
      </c>
      <c r="D126" s="24" t="s">
        <v>1516</v>
      </c>
      <c r="E126" s="25">
        <v>1933</v>
      </c>
      <c r="F126" s="26" t="s">
        <v>573</v>
      </c>
      <c r="G126" s="16" t="s">
        <v>574</v>
      </c>
      <c r="H126" s="31">
        <v>40.299999999999997</v>
      </c>
      <c r="I126" s="31">
        <v>45.3</v>
      </c>
      <c r="J126" s="16" t="s">
        <v>40</v>
      </c>
    </row>
    <row r="127" spans="1:10">
      <c r="A127" s="19">
        <v>123</v>
      </c>
      <c r="B127" s="16" t="s">
        <v>839</v>
      </c>
      <c r="C127" s="16" t="s">
        <v>1517</v>
      </c>
      <c r="D127" s="24" t="s">
        <v>1518</v>
      </c>
      <c r="E127" s="25">
        <v>1498</v>
      </c>
      <c r="F127" s="26" t="s">
        <v>573</v>
      </c>
      <c r="G127" s="16" t="s">
        <v>574</v>
      </c>
      <c r="H127" s="31">
        <v>31.5</v>
      </c>
      <c r="I127" s="31">
        <v>38.200000000000003</v>
      </c>
      <c r="J127" s="16" t="s">
        <v>40</v>
      </c>
    </row>
    <row r="128" spans="1:10">
      <c r="A128" s="19">
        <v>124</v>
      </c>
      <c r="B128" s="16" t="s">
        <v>839</v>
      </c>
      <c r="C128" s="16" t="s">
        <v>1519</v>
      </c>
      <c r="D128" s="24" t="s">
        <v>1520</v>
      </c>
      <c r="E128" s="25">
        <v>1840</v>
      </c>
      <c r="F128" s="26" t="s">
        <v>573</v>
      </c>
      <c r="G128" s="16" t="s">
        <v>574</v>
      </c>
      <c r="H128" s="31">
        <v>33.4</v>
      </c>
      <c r="I128" s="31">
        <v>38.200000000000003</v>
      </c>
      <c r="J128" s="16" t="s">
        <v>40</v>
      </c>
    </row>
    <row r="129" spans="1:10">
      <c r="A129" s="19">
        <v>125</v>
      </c>
      <c r="B129" s="16" t="s">
        <v>839</v>
      </c>
      <c r="C129" s="16" t="s">
        <v>1521</v>
      </c>
      <c r="D129" s="24" t="s">
        <v>1522</v>
      </c>
      <c r="E129" s="25">
        <v>655</v>
      </c>
      <c r="F129" s="26" t="s">
        <v>700</v>
      </c>
      <c r="G129" s="16" t="s">
        <v>701</v>
      </c>
      <c r="H129" s="31">
        <v>45.2</v>
      </c>
      <c r="I129" s="31">
        <v>51.2</v>
      </c>
      <c r="J129" s="16" t="s">
        <v>40</v>
      </c>
    </row>
    <row r="130" spans="1:10">
      <c r="A130" s="19">
        <v>126</v>
      </c>
      <c r="B130" s="16" t="s">
        <v>839</v>
      </c>
      <c r="C130" s="16" t="s">
        <v>1523</v>
      </c>
      <c r="D130" s="24" t="s">
        <v>1524</v>
      </c>
      <c r="E130" s="25">
        <v>1080</v>
      </c>
      <c r="F130" s="26" t="s">
        <v>573</v>
      </c>
      <c r="G130" s="16" t="s">
        <v>574</v>
      </c>
      <c r="H130" s="31">
        <v>27.6</v>
      </c>
      <c r="I130" s="31">
        <v>34.6</v>
      </c>
      <c r="J130" s="16" t="s">
        <v>40</v>
      </c>
    </row>
    <row r="131" spans="1:10">
      <c r="A131" s="19">
        <v>127</v>
      </c>
      <c r="B131" s="16" t="s">
        <v>839</v>
      </c>
      <c r="C131" s="16" t="s">
        <v>1525</v>
      </c>
      <c r="D131" s="24" t="s">
        <v>1526</v>
      </c>
      <c r="E131" s="25">
        <v>1709</v>
      </c>
      <c r="F131" s="26" t="s">
        <v>573</v>
      </c>
      <c r="G131" s="16" t="s">
        <v>574</v>
      </c>
      <c r="H131" s="31">
        <v>22.6</v>
      </c>
      <c r="I131" s="31">
        <v>27.7</v>
      </c>
      <c r="J131" s="16" t="s">
        <v>40</v>
      </c>
    </row>
    <row r="132" spans="1:10">
      <c r="A132" s="19">
        <v>128</v>
      </c>
      <c r="B132" s="16" t="s">
        <v>839</v>
      </c>
      <c r="C132" s="16" t="s">
        <v>1527</v>
      </c>
      <c r="D132" s="24" t="s">
        <v>1528</v>
      </c>
      <c r="E132" s="25">
        <v>1111</v>
      </c>
      <c r="F132" s="26" t="s">
        <v>573</v>
      </c>
      <c r="G132" s="16" t="s">
        <v>574</v>
      </c>
      <c r="H132" s="31">
        <v>29.2</v>
      </c>
      <c r="I132" s="31">
        <v>34.200000000000003</v>
      </c>
      <c r="J132" s="16" t="s">
        <v>40</v>
      </c>
    </row>
    <row r="133" spans="1:10">
      <c r="A133" s="19">
        <v>129</v>
      </c>
      <c r="B133" s="16" t="s">
        <v>839</v>
      </c>
      <c r="C133" s="16" t="s">
        <v>1529</v>
      </c>
      <c r="D133" s="24" t="s">
        <v>1530</v>
      </c>
      <c r="E133" s="25">
        <v>1022</v>
      </c>
      <c r="F133" s="26" t="s">
        <v>573</v>
      </c>
      <c r="G133" s="16" t="s">
        <v>574</v>
      </c>
      <c r="H133" s="31">
        <v>44.3</v>
      </c>
      <c r="I133" s="31">
        <v>49.4</v>
      </c>
      <c r="J133" s="16" t="s">
        <v>40</v>
      </c>
    </row>
    <row r="134" spans="1:10">
      <c r="A134" s="19">
        <v>130</v>
      </c>
      <c r="B134" s="16" t="s">
        <v>839</v>
      </c>
      <c r="C134" s="16" t="s">
        <v>1531</v>
      </c>
      <c r="D134" s="24" t="s">
        <v>1532</v>
      </c>
      <c r="E134" s="25">
        <v>919</v>
      </c>
      <c r="F134" s="26" t="s">
        <v>573</v>
      </c>
      <c r="G134" s="16" t="s">
        <v>574</v>
      </c>
      <c r="H134" s="31">
        <v>28.4</v>
      </c>
      <c r="I134" s="31">
        <v>32.9</v>
      </c>
      <c r="J134" s="16" t="s">
        <v>40</v>
      </c>
    </row>
    <row r="135" spans="1:10">
      <c r="A135" s="19">
        <v>131</v>
      </c>
      <c r="B135" s="16" t="s">
        <v>839</v>
      </c>
      <c r="C135" s="16" t="s">
        <v>1533</v>
      </c>
      <c r="D135" s="24" t="s">
        <v>1534</v>
      </c>
      <c r="E135" s="25">
        <v>644</v>
      </c>
      <c r="F135" s="26" t="s">
        <v>573</v>
      </c>
      <c r="G135" s="16" t="s">
        <v>574</v>
      </c>
      <c r="H135" s="31">
        <v>41.7</v>
      </c>
      <c r="I135" s="31">
        <v>45</v>
      </c>
      <c r="J135" s="16" t="s">
        <v>40</v>
      </c>
    </row>
    <row r="136" spans="1:10">
      <c r="A136" s="19">
        <v>132</v>
      </c>
      <c r="B136" s="16" t="s">
        <v>839</v>
      </c>
      <c r="C136" s="16" t="s">
        <v>1535</v>
      </c>
      <c r="D136" s="24" t="s">
        <v>1536</v>
      </c>
      <c r="E136" s="25">
        <v>1475</v>
      </c>
      <c r="F136" s="26" t="s">
        <v>573</v>
      </c>
      <c r="G136" s="16" t="s">
        <v>574</v>
      </c>
      <c r="H136" s="31">
        <v>33.1</v>
      </c>
      <c r="I136" s="31">
        <v>42</v>
      </c>
      <c r="J136" s="16" t="s">
        <v>40</v>
      </c>
    </row>
    <row r="137" spans="1:10">
      <c r="A137" s="19">
        <v>133</v>
      </c>
      <c r="B137" s="16" t="s">
        <v>839</v>
      </c>
      <c r="C137" s="16" t="s">
        <v>1537</v>
      </c>
      <c r="D137" s="24" t="s">
        <v>1538</v>
      </c>
      <c r="E137" s="25">
        <v>1166</v>
      </c>
      <c r="F137" s="26" t="s">
        <v>573</v>
      </c>
      <c r="G137" s="16" t="s">
        <v>574</v>
      </c>
      <c r="H137" s="31">
        <v>33.1</v>
      </c>
      <c r="I137" s="31">
        <v>41.4</v>
      </c>
      <c r="J137" s="16" t="s">
        <v>40</v>
      </c>
    </row>
    <row r="138" spans="1:10">
      <c r="A138" s="19">
        <v>134</v>
      </c>
      <c r="B138" s="16" t="s">
        <v>839</v>
      </c>
      <c r="C138" s="16" t="s">
        <v>1539</v>
      </c>
      <c r="D138" s="24" t="s">
        <v>1540</v>
      </c>
      <c r="E138" s="25">
        <v>611</v>
      </c>
      <c r="F138" s="26" t="s">
        <v>573</v>
      </c>
      <c r="G138" s="16" t="s">
        <v>574</v>
      </c>
      <c r="H138" s="31">
        <v>33</v>
      </c>
      <c r="I138" s="31">
        <v>37.200000000000003</v>
      </c>
      <c r="J138" s="16" t="s">
        <v>40</v>
      </c>
    </row>
    <row r="139" spans="1:10">
      <c r="A139" s="19">
        <v>135</v>
      </c>
      <c r="B139" s="16" t="s">
        <v>839</v>
      </c>
      <c r="C139" s="16" t="s">
        <v>574</v>
      </c>
      <c r="D139" s="24" t="s">
        <v>1541</v>
      </c>
      <c r="E139" s="25">
        <v>5670</v>
      </c>
      <c r="F139" s="26" t="s">
        <v>573</v>
      </c>
      <c r="G139" s="16" t="s">
        <v>574</v>
      </c>
      <c r="H139" s="31">
        <v>37.4</v>
      </c>
      <c r="I139" s="31">
        <v>46.7</v>
      </c>
      <c r="J139" s="16" t="s">
        <v>40</v>
      </c>
    </row>
    <row r="140" spans="1:10">
      <c r="A140" s="19">
        <v>136</v>
      </c>
      <c r="B140" s="16" t="s">
        <v>839</v>
      </c>
      <c r="C140" s="16" t="s">
        <v>1542</v>
      </c>
      <c r="D140" s="24" t="s">
        <v>1543</v>
      </c>
      <c r="E140" s="25">
        <v>469</v>
      </c>
      <c r="F140" s="26" t="s">
        <v>700</v>
      </c>
      <c r="G140" s="16" t="s">
        <v>701</v>
      </c>
      <c r="H140" s="31">
        <v>42.6</v>
      </c>
      <c r="I140" s="31">
        <v>49.2</v>
      </c>
      <c r="J140" s="16" t="s">
        <v>40</v>
      </c>
    </row>
    <row r="141" spans="1:10">
      <c r="A141" s="19">
        <v>137</v>
      </c>
      <c r="B141" s="16" t="s">
        <v>839</v>
      </c>
      <c r="C141" s="16" t="s">
        <v>1544</v>
      </c>
      <c r="D141" s="24" t="s">
        <v>1545</v>
      </c>
      <c r="E141" s="25">
        <v>1459</v>
      </c>
      <c r="F141" s="26" t="s">
        <v>573</v>
      </c>
      <c r="G141" s="16" t="s">
        <v>574</v>
      </c>
      <c r="H141" s="31">
        <v>39.5</v>
      </c>
      <c r="I141" s="31">
        <v>44.9</v>
      </c>
      <c r="J141" s="16" t="s">
        <v>40</v>
      </c>
    </row>
    <row r="142" spans="1:10">
      <c r="A142" s="19">
        <v>138</v>
      </c>
      <c r="B142" s="16" t="s">
        <v>839</v>
      </c>
      <c r="C142" s="16" t="s">
        <v>1546</v>
      </c>
      <c r="D142" s="24" t="s">
        <v>1547</v>
      </c>
      <c r="E142" s="25">
        <v>988</v>
      </c>
      <c r="F142" s="26" t="s">
        <v>573</v>
      </c>
      <c r="G142" s="16" t="s">
        <v>574</v>
      </c>
      <c r="H142" s="31">
        <v>33.1</v>
      </c>
      <c r="I142" s="31">
        <v>37.4</v>
      </c>
      <c r="J142" s="16" t="s">
        <v>40</v>
      </c>
    </row>
    <row r="143" spans="1:10">
      <c r="A143" s="19">
        <v>139</v>
      </c>
      <c r="B143" s="16" t="s">
        <v>839</v>
      </c>
      <c r="C143" s="16" t="s">
        <v>374</v>
      </c>
      <c r="D143" s="24" t="s">
        <v>1548</v>
      </c>
      <c r="E143" s="25">
        <v>763</v>
      </c>
      <c r="F143" s="26" t="s">
        <v>573</v>
      </c>
      <c r="G143" s="16" t="s">
        <v>574</v>
      </c>
      <c r="H143" s="31">
        <v>39.1</v>
      </c>
      <c r="I143" s="31">
        <v>48.2</v>
      </c>
      <c r="J143" s="16" t="s">
        <v>40</v>
      </c>
    </row>
    <row r="144" spans="1:10">
      <c r="A144" s="20">
        <v>140</v>
      </c>
      <c r="B144" s="17" t="s">
        <v>839</v>
      </c>
      <c r="C144" s="17" t="s">
        <v>1549</v>
      </c>
      <c r="D144" s="27" t="s">
        <v>1550</v>
      </c>
      <c r="E144" s="28">
        <v>1835</v>
      </c>
      <c r="F144" s="29" t="s">
        <v>573</v>
      </c>
      <c r="G144" s="17" t="s">
        <v>574</v>
      </c>
      <c r="H144" s="32">
        <v>29.9</v>
      </c>
      <c r="I144" s="32">
        <v>37.799999999999997</v>
      </c>
      <c r="J144" s="17" t="s">
        <v>40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9"/>
  <sheetViews>
    <sheetView showGridLines="0" workbookViewId="0"/>
  </sheetViews>
  <sheetFormatPr baseColWidth="10" defaultColWidth="8.83203125" defaultRowHeight="14"/>
  <cols>
    <col min="1" max="1" width="7" customWidth="1"/>
    <col min="2" max="2" width="23" customWidth="1"/>
    <col min="3" max="3" width="25" customWidth="1"/>
    <col min="4" max="4" width="13" customWidth="1"/>
    <col min="5" max="5" width="16" customWidth="1"/>
    <col min="6" max="6" width="15" customWidth="1"/>
    <col min="7" max="7" width="22" customWidth="1"/>
    <col min="8" max="9" width="21" customWidth="1"/>
    <col min="10" max="10" width="22" customWidth="1"/>
  </cols>
  <sheetData>
    <row r="1" spans="1:10" ht="30" customHeight="1">
      <c r="A1" s="39" t="s">
        <v>1551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2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2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5</v>
      </c>
      <c r="F4" s="14" t="s">
        <v>30</v>
      </c>
      <c r="G4" s="14" t="s">
        <v>31</v>
      </c>
      <c r="H4" s="14" t="s">
        <v>32</v>
      </c>
      <c r="I4" s="14" t="s">
        <v>33</v>
      </c>
      <c r="J4" s="14" t="s">
        <v>34</v>
      </c>
    </row>
    <row r="5" spans="1:10">
      <c r="A5" s="18">
        <v>1</v>
      </c>
      <c r="B5" s="15" t="s">
        <v>1552</v>
      </c>
      <c r="C5" s="15" t="s">
        <v>1553</v>
      </c>
      <c r="D5" s="21" t="s">
        <v>1554</v>
      </c>
      <c r="E5" s="22">
        <v>831</v>
      </c>
      <c r="F5" s="23" t="s">
        <v>1555</v>
      </c>
      <c r="G5" s="15" t="s">
        <v>1556</v>
      </c>
      <c r="H5" s="30">
        <v>21.8</v>
      </c>
      <c r="I5" s="30">
        <v>25.5</v>
      </c>
      <c r="J5" s="15" t="s">
        <v>40</v>
      </c>
    </row>
    <row r="6" spans="1:10">
      <c r="A6" s="19">
        <v>2</v>
      </c>
      <c r="B6" s="16" t="s">
        <v>1552</v>
      </c>
      <c r="C6" s="16" t="s">
        <v>1557</v>
      </c>
      <c r="D6" s="24" t="s">
        <v>1558</v>
      </c>
      <c r="E6" s="25">
        <v>1714</v>
      </c>
      <c r="F6" s="26" t="s">
        <v>1555</v>
      </c>
      <c r="G6" s="16" t="s">
        <v>1556</v>
      </c>
      <c r="H6" s="31">
        <v>33.799999999999997</v>
      </c>
      <c r="I6" s="31">
        <v>43.1</v>
      </c>
      <c r="J6" s="16" t="s">
        <v>40</v>
      </c>
    </row>
    <row r="7" spans="1:10">
      <c r="A7" s="19">
        <v>3</v>
      </c>
      <c r="B7" s="16" t="s">
        <v>1552</v>
      </c>
      <c r="C7" s="16" t="s">
        <v>1559</v>
      </c>
      <c r="D7" s="24" t="s">
        <v>1560</v>
      </c>
      <c r="E7" s="25">
        <v>1457</v>
      </c>
      <c r="F7" s="26" t="s">
        <v>1561</v>
      </c>
      <c r="G7" s="16" t="s">
        <v>1562</v>
      </c>
      <c r="H7" s="31">
        <v>12.2</v>
      </c>
      <c r="I7" s="31">
        <v>11.1</v>
      </c>
      <c r="J7" s="16" t="s">
        <v>40</v>
      </c>
    </row>
    <row r="8" spans="1:10">
      <c r="A8" s="19">
        <v>4</v>
      </c>
      <c r="B8" s="16" t="s">
        <v>1552</v>
      </c>
      <c r="C8" s="16" t="s">
        <v>1563</v>
      </c>
      <c r="D8" s="24" t="s">
        <v>1564</v>
      </c>
      <c r="E8" s="25">
        <v>1071</v>
      </c>
      <c r="F8" s="26" t="s">
        <v>1561</v>
      </c>
      <c r="G8" s="16" t="s">
        <v>1562</v>
      </c>
      <c r="H8" s="31">
        <v>8.9</v>
      </c>
      <c r="I8" s="31">
        <v>9.1999999999999993</v>
      </c>
      <c r="J8" s="16" t="s">
        <v>40</v>
      </c>
    </row>
    <row r="9" spans="1:10">
      <c r="A9" s="19">
        <v>5</v>
      </c>
      <c r="B9" s="16" t="s">
        <v>1552</v>
      </c>
      <c r="C9" s="16" t="s">
        <v>1565</v>
      </c>
      <c r="D9" s="24" t="s">
        <v>1566</v>
      </c>
      <c r="E9" s="25">
        <v>776</v>
      </c>
      <c r="F9" s="26" t="s">
        <v>1561</v>
      </c>
      <c r="G9" s="16" t="s">
        <v>1562</v>
      </c>
      <c r="H9" s="31">
        <v>26.6</v>
      </c>
      <c r="I9" s="31">
        <v>27.9</v>
      </c>
      <c r="J9" s="16" t="s">
        <v>40</v>
      </c>
    </row>
    <row r="10" spans="1:10">
      <c r="A10" s="19">
        <v>6</v>
      </c>
      <c r="B10" s="16" t="s">
        <v>1552</v>
      </c>
      <c r="C10" s="16" t="s">
        <v>1567</v>
      </c>
      <c r="D10" s="24" t="s">
        <v>1568</v>
      </c>
      <c r="E10" s="25">
        <v>1285</v>
      </c>
      <c r="F10" s="26" t="s">
        <v>1561</v>
      </c>
      <c r="G10" s="16" t="s">
        <v>1562</v>
      </c>
      <c r="H10" s="31">
        <v>21.8</v>
      </c>
      <c r="I10" s="31">
        <v>20.8</v>
      </c>
      <c r="J10" s="16" t="s">
        <v>40</v>
      </c>
    </row>
    <row r="11" spans="1:10">
      <c r="A11" s="19">
        <v>7</v>
      </c>
      <c r="B11" s="16" t="s">
        <v>1552</v>
      </c>
      <c r="C11" s="16" t="s">
        <v>1569</v>
      </c>
      <c r="D11" s="24" t="s">
        <v>1570</v>
      </c>
      <c r="E11" s="25">
        <v>1398</v>
      </c>
      <c r="F11" s="26" t="s">
        <v>1555</v>
      </c>
      <c r="G11" s="16" t="s">
        <v>1556</v>
      </c>
      <c r="H11" s="31">
        <v>38.299999999999997</v>
      </c>
      <c r="I11" s="31">
        <v>32.1</v>
      </c>
      <c r="J11" s="16" t="s">
        <v>40</v>
      </c>
    </row>
    <row r="12" spans="1:10">
      <c r="A12" s="19">
        <v>8</v>
      </c>
      <c r="B12" s="16" t="s">
        <v>1552</v>
      </c>
      <c r="C12" s="16" t="s">
        <v>1571</v>
      </c>
      <c r="D12" s="24" t="s">
        <v>1572</v>
      </c>
      <c r="E12" s="25">
        <v>383</v>
      </c>
      <c r="F12" s="26" t="s">
        <v>1561</v>
      </c>
      <c r="G12" s="16" t="s">
        <v>1562</v>
      </c>
      <c r="H12" s="31">
        <v>11.7</v>
      </c>
      <c r="I12" s="31">
        <v>14.5</v>
      </c>
      <c r="J12" s="16" t="s">
        <v>40</v>
      </c>
    </row>
    <row r="13" spans="1:10">
      <c r="A13" s="19">
        <v>9</v>
      </c>
      <c r="B13" s="16" t="s">
        <v>1552</v>
      </c>
      <c r="C13" s="16" t="s">
        <v>1573</v>
      </c>
      <c r="D13" s="24" t="s">
        <v>1574</v>
      </c>
      <c r="E13" s="25">
        <v>812</v>
      </c>
      <c r="F13" s="26" t="s">
        <v>1555</v>
      </c>
      <c r="G13" s="16" t="s">
        <v>1556</v>
      </c>
      <c r="H13" s="31">
        <v>42.7</v>
      </c>
      <c r="I13" s="31">
        <v>57.1</v>
      </c>
      <c r="J13" s="16" t="s">
        <v>40</v>
      </c>
    </row>
    <row r="14" spans="1:10">
      <c r="A14" s="19">
        <v>10</v>
      </c>
      <c r="B14" s="16" t="s">
        <v>1552</v>
      </c>
      <c r="C14" s="16" t="s">
        <v>1575</v>
      </c>
      <c r="D14" s="24" t="s">
        <v>1576</v>
      </c>
      <c r="E14" s="25">
        <v>3053</v>
      </c>
      <c r="F14" s="26" t="s">
        <v>1555</v>
      </c>
      <c r="G14" s="16" t="s">
        <v>1556</v>
      </c>
      <c r="H14" s="31">
        <v>37.5</v>
      </c>
      <c r="I14" s="31">
        <v>47.6</v>
      </c>
      <c r="J14" s="16" t="s">
        <v>40</v>
      </c>
    </row>
    <row r="15" spans="1:10">
      <c r="A15" s="19">
        <v>11</v>
      </c>
      <c r="B15" s="16" t="s">
        <v>1552</v>
      </c>
      <c r="C15" s="16" t="s">
        <v>1577</v>
      </c>
      <c r="D15" s="24" t="s">
        <v>1578</v>
      </c>
      <c r="E15" s="25">
        <v>1172</v>
      </c>
      <c r="F15" s="26" t="s">
        <v>1561</v>
      </c>
      <c r="G15" s="16" t="s">
        <v>1562</v>
      </c>
      <c r="H15" s="31">
        <v>27.2</v>
      </c>
      <c r="I15" s="31">
        <v>31.2</v>
      </c>
      <c r="J15" s="16" t="s">
        <v>40</v>
      </c>
    </row>
    <row r="16" spans="1:10">
      <c r="A16" s="19">
        <v>12</v>
      </c>
      <c r="B16" s="16" t="s">
        <v>1552</v>
      </c>
      <c r="C16" s="16" t="s">
        <v>1579</v>
      </c>
      <c r="D16" s="24" t="s">
        <v>1580</v>
      </c>
      <c r="E16" s="25">
        <v>1228</v>
      </c>
      <c r="F16" s="26" t="s">
        <v>1555</v>
      </c>
      <c r="G16" s="16" t="s">
        <v>1556</v>
      </c>
      <c r="H16" s="31">
        <v>33.5</v>
      </c>
      <c r="I16" s="31">
        <v>45.8</v>
      </c>
      <c r="J16" s="16" t="s">
        <v>40</v>
      </c>
    </row>
    <row r="17" spans="1:10">
      <c r="A17" s="19">
        <v>13</v>
      </c>
      <c r="B17" s="16" t="s">
        <v>1552</v>
      </c>
      <c r="C17" s="16" t="s">
        <v>1581</v>
      </c>
      <c r="D17" s="24" t="s">
        <v>1582</v>
      </c>
      <c r="E17" s="25">
        <v>1086</v>
      </c>
      <c r="F17" s="26" t="s">
        <v>1583</v>
      </c>
      <c r="G17" s="16" t="s">
        <v>1584</v>
      </c>
      <c r="H17" s="31">
        <v>22.6</v>
      </c>
      <c r="I17" s="31">
        <v>23.3</v>
      </c>
      <c r="J17" s="16" t="s">
        <v>40</v>
      </c>
    </row>
    <row r="18" spans="1:10">
      <c r="A18" s="19">
        <v>14</v>
      </c>
      <c r="B18" s="16" t="s">
        <v>1552</v>
      </c>
      <c r="C18" s="16" t="s">
        <v>1585</v>
      </c>
      <c r="D18" s="24" t="s">
        <v>1586</v>
      </c>
      <c r="E18" s="25">
        <v>1072</v>
      </c>
      <c r="F18" s="26" t="s">
        <v>1561</v>
      </c>
      <c r="G18" s="16" t="s">
        <v>1562</v>
      </c>
      <c r="H18" s="31">
        <v>24.1</v>
      </c>
      <c r="I18" s="31">
        <v>24.3</v>
      </c>
      <c r="J18" s="16" t="s">
        <v>40</v>
      </c>
    </row>
    <row r="19" spans="1:10">
      <c r="A19" s="19">
        <v>15</v>
      </c>
      <c r="B19" s="16" t="s">
        <v>1552</v>
      </c>
      <c r="C19" s="16" t="s">
        <v>1587</v>
      </c>
      <c r="D19" s="24" t="s">
        <v>1588</v>
      </c>
      <c r="E19" s="25">
        <v>1529</v>
      </c>
      <c r="F19" s="26" t="s">
        <v>1555</v>
      </c>
      <c r="G19" s="16" t="s">
        <v>1556</v>
      </c>
      <c r="H19" s="31">
        <v>19.399999999999999</v>
      </c>
      <c r="I19" s="31">
        <v>24.5</v>
      </c>
      <c r="J19" s="16" t="s">
        <v>40</v>
      </c>
    </row>
    <row r="20" spans="1:10">
      <c r="A20" s="19">
        <v>16</v>
      </c>
      <c r="B20" s="16" t="s">
        <v>1552</v>
      </c>
      <c r="C20" s="16" t="s">
        <v>1589</v>
      </c>
      <c r="D20" s="24" t="s">
        <v>1590</v>
      </c>
      <c r="E20" s="25">
        <v>958</v>
      </c>
      <c r="F20" s="26" t="s">
        <v>1561</v>
      </c>
      <c r="G20" s="16" t="s">
        <v>1562</v>
      </c>
      <c r="H20" s="31">
        <v>24.3</v>
      </c>
      <c r="I20" s="31">
        <v>25.7</v>
      </c>
      <c r="J20" s="16" t="s">
        <v>40</v>
      </c>
    </row>
    <row r="21" spans="1:10">
      <c r="A21" s="19">
        <v>17</v>
      </c>
      <c r="B21" s="16" t="s">
        <v>1552</v>
      </c>
      <c r="C21" s="16" t="s">
        <v>1591</v>
      </c>
      <c r="D21" s="24" t="s">
        <v>1592</v>
      </c>
      <c r="E21" s="25">
        <v>1656</v>
      </c>
      <c r="F21" s="26" t="s">
        <v>1561</v>
      </c>
      <c r="G21" s="16" t="s">
        <v>1562</v>
      </c>
      <c r="H21" s="31">
        <v>11.1</v>
      </c>
      <c r="I21" s="31">
        <v>13.3</v>
      </c>
      <c r="J21" s="16" t="s">
        <v>40</v>
      </c>
    </row>
    <row r="22" spans="1:10">
      <c r="A22" s="19">
        <v>18</v>
      </c>
      <c r="B22" s="16" t="s">
        <v>1552</v>
      </c>
      <c r="C22" s="16" t="s">
        <v>1593</v>
      </c>
      <c r="D22" s="24" t="s">
        <v>1594</v>
      </c>
      <c r="E22" s="25">
        <v>2524</v>
      </c>
      <c r="F22" s="26" t="s">
        <v>1561</v>
      </c>
      <c r="G22" s="16" t="s">
        <v>1562</v>
      </c>
      <c r="H22" s="31">
        <v>17</v>
      </c>
      <c r="I22" s="31">
        <v>14.8</v>
      </c>
      <c r="J22" s="16" t="s">
        <v>40</v>
      </c>
    </row>
    <row r="23" spans="1:10">
      <c r="A23" s="19">
        <v>19</v>
      </c>
      <c r="B23" s="16" t="s">
        <v>1552</v>
      </c>
      <c r="C23" s="16" t="s">
        <v>1595</v>
      </c>
      <c r="D23" s="24" t="s">
        <v>1596</v>
      </c>
      <c r="E23" s="25">
        <v>2038</v>
      </c>
      <c r="F23" s="26" t="s">
        <v>1561</v>
      </c>
      <c r="G23" s="16" t="s">
        <v>1562</v>
      </c>
      <c r="H23" s="31">
        <v>9.6</v>
      </c>
      <c r="I23" s="31">
        <v>11.8</v>
      </c>
      <c r="J23" s="16" t="s">
        <v>40</v>
      </c>
    </row>
    <row r="24" spans="1:10">
      <c r="A24" s="19">
        <v>20</v>
      </c>
      <c r="B24" s="16" t="s">
        <v>1552</v>
      </c>
      <c r="C24" s="16" t="s">
        <v>1597</v>
      </c>
      <c r="D24" s="24" t="s">
        <v>1598</v>
      </c>
      <c r="E24" s="25">
        <v>1435</v>
      </c>
      <c r="F24" s="26" t="s">
        <v>1561</v>
      </c>
      <c r="G24" s="16" t="s">
        <v>1562</v>
      </c>
      <c r="H24" s="31">
        <v>12</v>
      </c>
      <c r="I24" s="31">
        <v>15.8</v>
      </c>
      <c r="J24" s="16" t="s">
        <v>40</v>
      </c>
    </row>
    <row r="25" spans="1:10">
      <c r="A25" s="19">
        <v>21</v>
      </c>
      <c r="B25" s="16" t="s">
        <v>1552</v>
      </c>
      <c r="C25" s="16" t="s">
        <v>1599</v>
      </c>
      <c r="D25" s="24" t="s">
        <v>1600</v>
      </c>
      <c r="E25" s="25">
        <v>633</v>
      </c>
      <c r="F25" s="26" t="s">
        <v>1561</v>
      </c>
      <c r="G25" s="16" t="s">
        <v>1562</v>
      </c>
      <c r="H25" s="31">
        <v>15.1</v>
      </c>
      <c r="I25" s="31">
        <v>19.3</v>
      </c>
      <c r="J25" s="16" t="s">
        <v>40</v>
      </c>
    </row>
    <row r="26" spans="1:10">
      <c r="A26" s="19">
        <v>22</v>
      </c>
      <c r="B26" s="16" t="s">
        <v>1552</v>
      </c>
      <c r="C26" s="16" t="s">
        <v>1601</v>
      </c>
      <c r="D26" s="24" t="s">
        <v>1602</v>
      </c>
      <c r="E26" s="25">
        <v>1544</v>
      </c>
      <c r="F26" s="26" t="s">
        <v>1561</v>
      </c>
      <c r="G26" s="16" t="s">
        <v>1562</v>
      </c>
      <c r="H26" s="31">
        <v>16.399999999999999</v>
      </c>
      <c r="I26" s="31">
        <v>15.1</v>
      </c>
      <c r="J26" s="16" t="s">
        <v>40</v>
      </c>
    </row>
    <row r="27" spans="1:10">
      <c r="A27" s="19">
        <v>23</v>
      </c>
      <c r="B27" s="16" t="s">
        <v>1552</v>
      </c>
      <c r="C27" s="16" t="s">
        <v>1603</v>
      </c>
      <c r="D27" s="24" t="s">
        <v>1604</v>
      </c>
      <c r="E27" s="25">
        <v>3654</v>
      </c>
      <c r="F27" s="26" t="s">
        <v>1561</v>
      </c>
      <c r="G27" s="16" t="s">
        <v>1562</v>
      </c>
      <c r="H27" s="31">
        <v>9.1</v>
      </c>
      <c r="I27" s="31">
        <v>8.4</v>
      </c>
      <c r="J27" s="16" t="s">
        <v>40</v>
      </c>
    </row>
    <row r="28" spans="1:10">
      <c r="A28" s="19">
        <v>24</v>
      </c>
      <c r="B28" s="16" t="s">
        <v>1552</v>
      </c>
      <c r="C28" s="16" t="s">
        <v>1605</v>
      </c>
      <c r="D28" s="24" t="s">
        <v>1606</v>
      </c>
      <c r="E28" s="25">
        <v>1936</v>
      </c>
      <c r="F28" s="26" t="s">
        <v>1555</v>
      </c>
      <c r="G28" s="16" t="s">
        <v>1556</v>
      </c>
      <c r="H28" s="31">
        <v>44.6</v>
      </c>
      <c r="I28" s="31">
        <v>59.9</v>
      </c>
      <c r="J28" s="16" t="s">
        <v>40</v>
      </c>
    </row>
    <row r="29" spans="1:10">
      <c r="A29" s="19">
        <v>25</v>
      </c>
      <c r="B29" s="16" t="s">
        <v>1552</v>
      </c>
      <c r="C29" s="16" t="s">
        <v>1607</v>
      </c>
      <c r="D29" s="24" t="s">
        <v>1608</v>
      </c>
      <c r="E29" s="25">
        <v>645</v>
      </c>
      <c r="F29" s="26" t="s">
        <v>1561</v>
      </c>
      <c r="G29" s="16" t="s">
        <v>1562</v>
      </c>
      <c r="H29" s="31">
        <v>20.2</v>
      </c>
      <c r="I29" s="31">
        <v>24.9</v>
      </c>
      <c r="J29" s="16" t="s">
        <v>40</v>
      </c>
    </row>
    <row r="30" spans="1:10">
      <c r="A30" s="19">
        <v>26</v>
      </c>
      <c r="B30" s="16" t="s">
        <v>1552</v>
      </c>
      <c r="C30" s="16" t="s">
        <v>1609</v>
      </c>
      <c r="D30" s="24" t="s">
        <v>1610</v>
      </c>
      <c r="E30" s="25">
        <v>422</v>
      </c>
      <c r="F30" s="26" t="s">
        <v>1555</v>
      </c>
      <c r="G30" s="16" t="s">
        <v>1556</v>
      </c>
      <c r="H30" s="31">
        <v>36.1</v>
      </c>
      <c r="I30" s="31">
        <v>40.799999999999997</v>
      </c>
      <c r="J30" s="16" t="s">
        <v>40</v>
      </c>
    </row>
    <row r="31" spans="1:10">
      <c r="A31" s="19">
        <v>27</v>
      </c>
      <c r="B31" s="16" t="s">
        <v>1552</v>
      </c>
      <c r="C31" s="16" t="s">
        <v>1611</v>
      </c>
      <c r="D31" s="24" t="s">
        <v>1612</v>
      </c>
      <c r="E31" s="25">
        <v>396</v>
      </c>
      <c r="F31" s="26" t="s">
        <v>1561</v>
      </c>
      <c r="G31" s="16" t="s">
        <v>1562</v>
      </c>
      <c r="H31" s="31">
        <v>19.899999999999999</v>
      </c>
      <c r="I31" s="31">
        <v>23</v>
      </c>
      <c r="J31" s="16" t="s">
        <v>40</v>
      </c>
    </row>
    <row r="32" spans="1:10">
      <c r="A32" s="19">
        <v>28</v>
      </c>
      <c r="B32" s="16" t="s">
        <v>1552</v>
      </c>
      <c r="C32" s="16" t="s">
        <v>1613</v>
      </c>
      <c r="D32" s="24" t="s">
        <v>1614</v>
      </c>
      <c r="E32" s="25">
        <v>425</v>
      </c>
      <c r="F32" s="26" t="s">
        <v>1561</v>
      </c>
      <c r="G32" s="16" t="s">
        <v>1562</v>
      </c>
      <c r="H32" s="31">
        <v>15.2</v>
      </c>
      <c r="I32" s="31">
        <v>18.600000000000001</v>
      </c>
      <c r="J32" s="16" t="s">
        <v>40</v>
      </c>
    </row>
    <row r="33" spans="1:10">
      <c r="A33" s="19">
        <v>29</v>
      </c>
      <c r="B33" s="16" t="s">
        <v>1552</v>
      </c>
      <c r="C33" s="16" t="s">
        <v>1562</v>
      </c>
      <c r="D33" s="24" t="s">
        <v>1615</v>
      </c>
      <c r="E33" s="25">
        <v>22223</v>
      </c>
      <c r="F33" s="26" t="s">
        <v>1561</v>
      </c>
      <c r="G33" s="16" t="s">
        <v>1562</v>
      </c>
      <c r="H33" s="31">
        <v>0</v>
      </c>
      <c r="I33" s="31">
        <v>0</v>
      </c>
      <c r="J33" s="16" t="s">
        <v>40</v>
      </c>
    </row>
    <row r="34" spans="1:10">
      <c r="A34" s="19">
        <v>30</v>
      </c>
      <c r="B34" s="16" t="s">
        <v>1552</v>
      </c>
      <c r="C34" s="16" t="s">
        <v>1616</v>
      </c>
      <c r="D34" s="24" t="s">
        <v>1617</v>
      </c>
      <c r="E34" s="25">
        <v>2287</v>
      </c>
      <c r="F34" s="26" t="s">
        <v>1561</v>
      </c>
      <c r="G34" s="16" t="s">
        <v>1562</v>
      </c>
      <c r="H34" s="31">
        <v>6.5</v>
      </c>
      <c r="I34" s="31">
        <v>5.8</v>
      </c>
      <c r="J34" s="16" t="s">
        <v>40</v>
      </c>
    </row>
    <row r="35" spans="1:10">
      <c r="A35" s="19">
        <v>31</v>
      </c>
      <c r="B35" s="16" t="s">
        <v>1552</v>
      </c>
      <c r="C35" s="16" t="s">
        <v>1618</v>
      </c>
      <c r="D35" s="24" t="s">
        <v>1619</v>
      </c>
      <c r="E35" s="25">
        <v>3580</v>
      </c>
      <c r="F35" s="26" t="s">
        <v>1555</v>
      </c>
      <c r="G35" s="16" t="s">
        <v>1556</v>
      </c>
      <c r="H35" s="31">
        <v>47.3</v>
      </c>
      <c r="I35" s="31">
        <v>57.4</v>
      </c>
      <c r="J35" s="16" t="s">
        <v>40</v>
      </c>
    </row>
    <row r="36" spans="1:10">
      <c r="A36" s="19">
        <v>32</v>
      </c>
      <c r="B36" s="16" t="s">
        <v>1552</v>
      </c>
      <c r="C36" s="16" t="s">
        <v>1620</v>
      </c>
      <c r="D36" s="24" t="s">
        <v>1621</v>
      </c>
      <c r="E36" s="25">
        <v>966</v>
      </c>
      <c r="F36" s="26" t="s">
        <v>1561</v>
      </c>
      <c r="G36" s="16" t="s">
        <v>1562</v>
      </c>
      <c r="H36" s="31">
        <v>18.8</v>
      </c>
      <c r="I36" s="31">
        <v>23.9</v>
      </c>
      <c r="J36" s="16" t="s">
        <v>40</v>
      </c>
    </row>
    <row r="37" spans="1:10">
      <c r="A37" s="19">
        <v>33</v>
      </c>
      <c r="B37" s="16" t="s">
        <v>1552</v>
      </c>
      <c r="C37" s="16" t="s">
        <v>422</v>
      </c>
      <c r="D37" s="24" t="s">
        <v>1622</v>
      </c>
      <c r="E37" s="25">
        <v>1118</v>
      </c>
      <c r="F37" s="26" t="s">
        <v>1561</v>
      </c>
      <c r="G37" s="16" t="s">
        <v>1562</v>
      </c>
      <c r="H37" s="31">
        <v>17.7</v>
      </c>
      <c r="I37" s="31">
        <v>21.1</v>
      </c>
      <c r="J37" s="16" t="s">
        <v>40</v>
      </c>
    </row>
    <row r="38" spans="1:10">
      <c r="A38" s="19">
        <v>34</v>
      </c>
      <c r="B38" s="16" t="s">
        <v>1552</v>
      </c>
      <c r="C38" s="16" t="s">
        <v>1623</v>
      </c>
      <c r="D38" s="24" t="s">
        <v>1624</v>
      </c>
      <c r="E38" s="25">
        <v>1437</v>
      </c>
      <c r="F38" s="26" t="s">
        <v>1561</v>
      </c>
      <c r="G38" s="16" t="s">
        <v>1562</v>
      </c>
      <c r="H38" s="31">
        <v>24.1</v>
      </c>
      <c r="I38" s="31">
        <v>20.5</v>
      </c>
      <c r="J38" s="16" t="s">
        <v>40</v>
      </c>
    </row>
    <row r="39" spans="1:10">
      <c r="A39" s="19">
        <v>35</v>
      </c>
      <c r="B39" s="16" t="s">
        <v>1552</v>
      </c>
      <c r="C39" s="16" t="s">
        <v>1625</v>
      </c>
      <c r="D39" s="24" t="s">
        <v>1626</v>
      </c>
      <c r="E39" s="25">
        <v>1956</v>
      </c>
      <c r="F39" s="26" t="s">
        <v>1555</v>
      </c>
      <c r="G39" s="16" t="s">
        <v>1556</v>
      </c>
      <c r="H39" s="31">
        <v>39.700000000000003</v>
      </c>
      <c r="I39" s="31">
        <v>33.6</v>
      </c>
      <c r="J39" s="16" t="s">
        <v>40</v>
      </c>
    </row>
    <row r="40" spans="1:10">
      <c r="A40" s="19">
        <v>36</v>
      </c>
      <c r="B40" s="16" t="s">
        <v>1627</v>
      </c>
      <c r="C40" s="16" t="s">
        <v>1628</v>
      </c>
      <c r="D40" s="24" t="s">
        <v>1629</v>
      </c>
      <c r="E40" s="25">
        <v>948</v>
      </c>
      <c r="F40" s="26" t="s">
        <v>1583</v>
      </c>
      <c r="G40" s="16" t="s">
        <v>1584</v>
      </c>
      <c r="H40" s="31">
        <v>42.6</v>
      </c>
      <c r="I40" s="31">
        <v>51.7</v>
      </c>
      <c r="J40" s="16" t="s">
        <v>40</v>
      </c>
    </row>
    <row r="41" spans="1:10">
      <c r="A41" s="19">
        <v>37</v>
      </c>
      <c r="B41" s="16" t="s">
        <v>1627</v>
      </c>
      <c r="C41" s="16" t="s">
        <v>175</v>
      </c>
      <c r="D41" s="24" t="s">
        <v>1630</v>
      </c>
      <c r="E41" s="25">
        <v>1871</v>
      </c>
      <c r="F41" s="26" t="s">
        <v>1583</v>
      </c>
      <c r="G41" s="16" t="s">
        <v>1584</v>
      </c>
      <c r="H41" s="31">
        <v>35.9</v>
      </c>
      <c r="I41" s="31">
        <v>43.4</v>
      </c>
      <c r="J41" s="16" t="s">
        <v>40</v>
      </c>
    </row>
    <row r="42" spans="1:10">
      <c r="A42" s="19">
        <v>38</v>
      </c>
      <c r="B42" s="16" t="s">
        <v>1627</v>
      </c>
      <c r="C42" s="16" t="s">
        <v>1631</v>
      </c>
      <c r="D42" s="24" t="s">
        <v>1632</v>
      </c>
      <c r="E42" s="25">
        <v>1361</v>
      </c>
      <c r="F42" s="26" t="s">
        <v>1583</v>
      </c>
      <c r="G42" s="16" t="s">
        <v>1584</v>
      </c>
      <c r="H42" s="31">
        <v>30</v>
      </c>
      <c r="I42" s="31">
        <v>37</v>
      </c>
      <c r="J42" s="16" t="s">
        <v>40</v>
      </c>
    </row>
    <row r="43" spans="1:10">
      <c r="A43" s="19">
        <v>39</v>
      </c>
      <c r="B43" s="16" t="s">
        <v>1627</v>
      </c>
      <c r="C43" s="16" t="s">
        <v>1633</v>
      </c>
      <c r="D43" s="24" t="s">
        <v>1634</v>
      </c>
      <c r="E43" s="25">
        <v>1791</v>
      </c>
      <c r="F43" s="26" t="s">
        <v>1583</v>
      </c>
      <c r="G43" s="16" t="s">
        <v>1584</v>
      </c>
      <c r="H43" s="31">
        <v>34.4</v>
      </c>
      <c r="I43" s="31">
        <v>38.9</v>
      </c>
      <c r="J43" s="16" t="s">
        <v>40</v>
      </c>
    </row>
    <row r="44" spans="1:10">
      <c r="A44" s="19">
        <v>40</v>
      </c>
      <c r="B44" s="16" t="s">
        <v>1627</v>
      </c>
      <c r="C44" s="16" t="s">
        <v>1635</v>
      </c>
      <c r="D44" s="24" t="s">
        <v>1636</v>
      </c>
      <c r="E44" s="25">
        <v>392</v>
      </c>
      <c r="F44" s="26" t="s">
        <v>1583</v>
      </c>
      <c r="G44" s="16" t="s">
        <v>1584</v>
      </c>
      <c r="H44" s="31">
        <v>36</v>
      </c>
      <c r="I44" s="31">
        <v>37.299999999999997</v>
      </c>
      <c r="J44" s="16" t="s">
        <v>40</v>
      </c>
    </row>
    <row r="45" spans="1:10">
      <c r="A45" s="19">
        <v>41</v>
      </c>
      <c r="B45" s="16" t="s">
        <v>1627</v>
      </c>
      <c r="C45" s="16" t="s">
        <v>1637</v>
      </c>
      <c r="D45" s="24" t="s">
        <v>1638</v>
      </c>
      <c r="E45" s="25">
        <v>2520</v>
      </c>
      <c r="F45" s="26" t="s">
        <v>1583</v>
      </c>
      <c r="G45" s="16" t="s">
        <v>1584</v>
      </c>
      <c r="H45" s="31">
        <v>26.1</v>
      </c>
      <c r="I45" s="31">
        <v>29.3</v>
      </c>
      <c r="J45" s="16" t="s">
        <v>40</v>
      </c>
    </row>
    <row r="46" spans="1:10">
      <c r="A46" s="19">
        <v>42</v>
      </c>
      <c r="B46" s="16" t="s">
        <v>1627</v>
      </c>
      <c r="C46" s="16" t="s">
        <v>1639</v>
      </c>
      <c r="D46" s="24" t="s">
        <v>1640</v>
      </c>
      <c r="E46" s="25">
        <v>913</v>
      </c>
      <c r="F46" s="26" t="s">
        <v>1583</v>
      </c>
      <c r="G46" s="16" t="s">
        <v>1584</v>
      </c>
      <c r="H46" s="31">
        <v>45.8</v>
      </c>
      <c r="I46" s="31">
        <v>49.9</v>
      </c>
      <c r="J46" s="16" t="s">
        <v>40</v>
      </c>
    </row>
    <row r="47" spans="1:10">
      <c r="A47" s="19">
        <v>43</v>
      </c>
      <c r="B47" s="16" t="s">
        <v>1627</v>
      </c>
      <c r="C47" s="16" t="s">
        <v>1641</v>
      </c>
      <c r="D47" s="24" t="s">
        <v>1642</v>
      </c>
      <c r="E47" s="25">
        <v>663</v>
      </c>
      <c r="F47" s="26" t="s">
        <v>1583</v>
      </c>
      <c r="G47" s="16" t="s">
        <v>1584</v>
      </c>
      <c r="H47" s="31">
        <v>47.4</v>
      </c>
      <c r="I47" s="31">
        <v>58.1</v>
      </c>
      <c r="J47" s="16" t="s">
        <v>40</v>
      </c>
    </row>
    <row r="48" spans="1:10">
      <c r="A48" s="19">
        <v>44</v>
      </c>
      <c r="B48" s="16" t="s">
        <v>1627</v>
      </c>
      <c r="C48" s="16" t="s">
        <v>1643</v>
      </c>
      <c r="D48" s="24" t="s">
        <v>1644</v>
      </c>
      <c r="E48" s="25">
        <v>1487</v>
      </c>
      <c r="F48" s="26" t="s">
        <v>1583</v>
      </c>
      <c r="G48" s="16" t="s">
        <v>1584</v>
      </c>
      <c r="H48" s="31">
        <v>31.9</v>
      </c>
      <c r="I48" s="31">
        <v>37.4</v>
      </c>
      <c r="J48" s="16" t="s">
        <v>40</v>
      </c>
    </row>
    <row r="49" spans="1:10">
      <c r="A49" s="19">
        <v>45</v>
      </c>
      <c r="B49" s="16" t="s">
        <v>1627</v>
      </c>
      <c r="C49" s="16" t="s">
        <v>1645</v>
      </c>
      <c r="D49" s="24" t="s">
        <v>1646</v>
      </c>
      <c r="E49" s="25">
        <v>608</v>
      </c>
      <c r="F49" s="26" t="s">
        <v>1583</v>
      </c>
      <c r="G49" s="16" t="s">
        <v>1584</v>
      </c>
      <c r="H49" s="31">
        <v>37.200000000000003</v>
      </c>
      <c r="I49" s="31">
        <v>43.1</v>
      </c>
      <c r="J49" s="16" t="s">
        <v>40</v>
      </c>
    </row>
    <row r="50" spans="1:10">
      <c r="A50" s="19">
        <v>46</v>
      </c>
      <c r="B50" s="16" t="s">
        <v>1627</v>
      </c>
      <c r="C50" s="16" t="s">
        <v>1584</v>
      </c>
      <c r="D50" s="24" t="s">
        <v>1647</v>
      </c>
      <c r="E50" s="25">
        <v>2655</v>
      </c>
      <c r="F50" s="26" t="s">
        <v>1583</v>
      </c>
      <c r="G50" s="16" t="s">
        <v>1584</v>
      </c>
      <c r="H50" s="31">
        <v>39.200000000000003</v>
      </c>
      <c r="I50" s="31">
        <v>47.1</v>
      </c>
      <c r="J50" s="16" t="s">
        <v>40</v>
      </c>
    </row>
    <row r="51" spans="1:10">
      <c r="A51" s="19">
        <v>47</v>
      </c>
      <c r="B51" s="16" t="s">
        <v>1627</v>
      </c>
      <c r="C51" s="16" t="s">
        <v>1648</v>
      </c>
      <c r="D51" s="24" t="s">
        <v>1649</v>
      </c>
      <c r="E51" s="25">
        <v>736</v>
      </c>
      <c r="F51" s="26" t="s">
        <v>1583</v>
      </c>
      <c r="G51" s="16" t="s">
        <v>1584</v>
      </c>
      <c r="H51" s="31">
        <v>38.799999999999997</v>
      </c>
      <c r="I51" s="31">
        <v>44.6</v>
      </c>
      <c r="J51" s="16" t="s">
        <v>40</v>
      </c>
    </row>
    <row r="52" spans="1:10">
      <c r="A52" s="19">
        <v>48</v>
      </c>
      <c r="B52" s="16" t="s">
        <v>1627</v>
      </c>
      <c r="C52" s="16" t="s">
        <v>1650</v>
      </c>
      <c r="D52" s="24" t="s">
        <v>1651</v>
      </c>
      <c r="E52" s="25">
        <v>1249</v>
      </c>
      <c r="F52" s="26" t="s">
        <v>1583</v>
      </c>
      <c r="G52" s="16" t="s">
        <v>1584</v>
      </c>
      <c r="H52" s="31">
        <v>39.700000000000003</v>
      </c>
      <c r="I52" s="31">
        <v>44.6</v>
      </c>
      <c r="J52" s="16" t="s">
        <v>40</v>
      </c>
    </row>
    <row r="53" spans="1:10">
      <c r="A53" s="19">
        <v>49</v>
      </c>
      <c r="B53" s="16" t="s">
        <v>1652</v>
      </c>
      <c r="C53" s="16" t="s">
        <v>1653</v>
      </c>
      <c r="D53" s="24" t="s">
        <v>1654</v>
      </c>
      <c r="E53" s="25">
        <v>497</v>
      </c>
      <c r="F53" s="26" t="s">
        <v>1655</v>
      </c>
      <c r="G53" s="16" t="s">
        <v>1656</v>
      </c>
      <c r="H53" s="31">
        <v>29.9</v>
      </c>
      <c r="I53" s="31">
        <v>40.5</v>
      </c>
      <c r="J53" s="16" t="s">
        <v>40</v>
      </c>
    </row>
    <row r="54" spans="1:10">
      <c r="A54" s="19">
        <v>50</v>
      </c>
      <c r="B54" s="16" t="s">
        <v>1652</v>
      </c>
      <c r="C54" s="16" t="s">
        <v>1657</v>
      </c>
      <c r="D54" s="24" t="s">
        <v>1658</v>
      </c>
      <c r="E54" s="25">
        <v>604</v>
      </c>
      <c r="F54" s="26" t="s">
        <v>1655</v>
      </c>
      <c r="G54" s="16" t="s">
        <v>1656</v>
      </c>
      <c r="H54" s="31">
        <v>25.5</v>
      </c>
      <c r="I54" s="31">
        <v>33.9</v>
      </c>
      <c r="J54" s="16" t="s">
        <v>40</v>
      </c>
    </row>
    <row r="55" spans="1:10">
      <c r="A55" s="19">
        <v>51</v>
      </c>
      <c r="B55" s="16" t="s">
        <v>1652</v>
      </c>
      <c r="C55" s="16" t="s">
        <v>1659</v>
      </c>
      <c r="D55" s="24" t="s">
        <v>1660</v>
      </c>
      <c r="E55" s="25">
        <v>1154</v>
      </c>
      <c r="F55" s="26" t="s">
        <v>1655</v>
      </c>
      <c r="G55" s="16" t="s">
        <v>1656</v>
      </c>
      <c r="H55" s="31">
        <v>48.1</v>
      </c>
      <c r="I55" s="31">
        <v>61</v>
      </c>
      <c r="J55" s="16" t="s">
        <v>40</v>
      </c>
    </row>
    <row r="56" spans="1:10">
      <c r="A56" s="19">
        <v>52</v>
      </c>
      <c r="B56" s="16" t="s">
        <v>1652</v>
      </c>
      <c r="C56" s="16" t="s">
        <v>1661</v>
      </c>
      <c r="D56" s="24" t="s">
        <v>1662</v>
      </c>
      <c r="E56" s="25">
        <v>952</v>
      </c>
      <c r="F56" s="26" t="s">
        <v>1655</v>
      </c>
      <c r="G56" s="16" t="s">
        <v>1656</v>
      </c>
      <c r="H56" s="31">
        <v>21</v>
      </c>
      <c r="I56" s="31">
        <v>27.3</v>
      </c>
      <c r="J56" s="16" t="s">
        <v>40</v>
      </c>
    </row>
    <row r="57" spans="1:10">
      <c r="A57" s="19">
        <v>53</v>
      </c>
      <c r="B57" s="16" t="s">
        <v>1652</v>
      </c>
      <c r="C57" s="16" t="s">
        <v>1663</v>
      </c>
      <c r="D57" s="24" t="s">
        <v>1664</v>
      </c>
      <c r="E57" s="25">
        <v>1304</v>
      </c>
      <c r="F57" s="26" t="s">
        <v>1655</v>
      </c>
      <c r="G57" s="16" t="s">
        <v>1656</v>
      </c>
      <c r="H57" s="31">
        <v>22.2</v>
      </c>
      <c r="I57" s="31">
        <v>28.7</v>
      </c>
      <c r="J57" s="16" t="s">
        <v>40</v>
      </c>
    </row>
    <row r="58" spans="1:10">
      <c r="A58" s="19">
        <v>54</v>
      </c>
      <c r="B58" s="16" t="s">
        <v>1652</v>
      </c>
      <c r="C58" s="16" t="s">
        <v>1665</v>
      </c>
      <c r="D58" s="24" t="s">
        <v>1666</v>
      </c>
      <c r="E58" s="25">
        <v>591</v>
      </c>
      <c r="F58" s="26" t="s">
        <v>1561</v>
      </c>
      <c r="G58" s="16" t="s">
        <v>1562</v>
      </c>
      <c r="H58" s="31">
        <v>22.1</v>
      </c>
      <c r="I58" s="31">
        <v>25</v>
      </c>
      <c r="J58" s="16" t="s">
        <v>40</v>
      </c>
    </row>
    <row r="59" spans="1:10">
      <c r="A59" s="19">
        <v>55</v>
      </c>
      <c r="B59" s="16" t="s">
        <v>1652</v>
      </c>
      <c r="C59" s="16" t="s">
        <v>1270</v>
      </c>
      <c r="D59" s="24" t="s">
        <v>1667</v>
      </c>
      <c r="E59" s="25">
        <v>182</v>
      </c>
      <c r="F59" s="26" t="s">
        <v>1555</v>
      </c>
      <c r="G59" s="16" t="s">
        <v>1556</v>
      </c>
      <c r="H59" s="31">
        <v>36.299999999999997</v>
      </c>
      <c r="I59" s="31">
        <v>39.700000000000003</v>
      </c>
      <c r="J59" s="16" t="s">
        <v>40</v>
      </c>
    </row>
    <row r="60" spans="1:10">
      <c r="A60" s="19">
        <v>56</v>
      </c>
      <c r="B60" s="16" t="s">
        <v>1652</v>
      </c>
      <c r="C60" s="16" t="s">
        <v>1668</v>
      </c>
      <c r="D60" s="24" t="s">
        <v>1669</v>
      </c>
      <c r="E60" s="25">
        <v>1128</v>
      </c>
      <c r="F60" s="26" t="s">
        <v>1555</v>
      </c>
      <c r="G60" s="16" t="s">
        <v>1556</v>
      </c>
      <c r="H60" s="31">
        <v>30.6</v>
      </c>
      <c r="I60" s="31">
        <v>34.9</v>
      </c>
      <c r="J60" s="16" t="s">
        <v>40</v>
      </c>
    </row>
    <row r="61" spans="1:10">
      <c r="A61" s="19">
        <v>57</v>
      </c>
      <c r="B61" s="16" t="s">
        <v>1652</v>
      </c>
      <c r="C61" s="16" t="s">
        <v>1670</v>
      </c>
      <c r="D61" s="24" t="s">
        <v>1671</v>
      </c>
      <c r="E61" s="25">
        <v>554</v>
      </c>
      <c r="F61" s="26" t="s">
        <v>1555</v>
      </c>
      <c r="G61" s="16" t="s">
        <v>1556</v>
      </c>
      <c r="H61" s="31">
        <v>24.4</v>
      </c>
      <c r="I61" s="31">
        <v>27.9</v>
      </c>
      <c r="J61" s="16" t="s">
        <v>40</v>
      </c>
    </row>
    <row r="62" spans="1:10">
      <c r="A62" s="19">
        <v>58</v>
      </c>
      <c r="B62" s="16" t="s">
        <v>1652</v>
      </c>
      <c r="C62" s="16" t="s">
        <v>1672</v>
      </c>
      <c r="D62" s="24" t="s">
        <v>1673</v>
      </c>
      <c r="E62" s="25">
        <v>842</v>
      </c>
      <c r="F62" s="26" t="s">
        <v>1655</v>
      </c>
      <c r="G62" s="16" t="s">
        <v>1656</v>
      </c>
      <c r="H62" s="31">
        <v>26.3</v>
      </c>
      <c r="I62" s="31">
        <v>35.1</v>
      </c>
      <c r="J62" s="16" t="s">
        <v>40</v>
      </c>
    </row>
    <row r="63" spans="1:10">
      <c r="A63" s="19">
        <v>59</v>
      </c>
      <c r="B63" s="16" t="s">
        <v>1652</v>
      </c>
      <c r="C63" s="16" t="s">
        <v>1656</v>
      </c>
      <c r="D63" s="24" t="s">
        <v>1674</v>
      </c>
      <c r="E63" s="25">
        <v>10021</v>
      </c>
      <c r="F63" s="26" t="s">
        <v>1655</v>
      </c>
      <c r="G63" s="16" t="s">
        <v>1656</v>
      </c>
      <c r="H63" s="31">
        <v>35.200000000000003</v>
      </c>
      <c r="I63" s="31">
        <v>45.4</v>
      </c>
      <c r="J63" s="16" t="s">
        <v>40</v>
      </c>
    </row>
    <row r="64" spans="1:10">
      <c r="A64" s="19">
        <v>60</v>
      </c>
      <c r="B64" s="16" t="s">
        <v>1675</v>
      </c>
      <c r="C64" s="16" t="s">
        <v>1676</v>
      </c>
      <c r="D64" s="24" t="s">
        <v>1677</v>
      </c>
      <c r="E64" s="25">
        <v>283</v>
      </c>
      <c r="F64" s="26" t="s">
        <v>1561</v>
      </c>
      <c r="G64" s="16" t="s">
        <v>1562</v>
      </c>
      <c r="H64" s="31">
        <v>19.100000000000001</v>
      </c>
      <c r="I64" s="31">
        <v>21.8</v>
      </c>
      <c r="J64" s="16" t="s">
        <v>40</v>
      </c>
    </row>
    <row r="65" spans="1:10">
      <c r="A65" s="19">
        <v>61</v>
      </c>
      <c r="B65" s="16" t="s">
        <v>1675</v>
      </c>
      <c r="C65" s="16" t="s">
        <v>1678</v>
      </c>
      <c r="D65" s="24" t="s">
        <v>1679</v>
      </c>
      <c r="E65" s="25">
        <v>4468</v>
      </c>
      <c r="F65" s="26" t="s">
        <v>1655</v>
      </c>
      <c r="G65" s="16" t="s">
        <v>1656</v>
      </c>
      <c r="H65" s="31">
        <v>40.700000000000003</v>
      </c>
      <c r="I65" s="31">
        <v>46.3</v>
      </c>
      <c r="J65" s="16" t="s">
        <v>40</v>
      </c>
    </row>
    <row r="66" spans="1:10">
      <c r="A66" s="19">
        <v>62</v>
      </c>
      <c r="B66" s="16" t="s">
        <v>1675</v>
      </c>
      <c r="C66" s="16" t="s">
        <v>1680</v>
      </c>
      <c r="D66" s="24" t="s">
        <v>1681</v>
      </c>
      <c r="E66" s="25">
        <v>3039</v>
      </c>
      <c r="F66" s="26" t="s">
        <v>1555</v>
      </c>
      <c r="G66" s="16" t="s">
        <v>1556</v>
      </c>
      <c r="H66" s="31">
        <v>46.7</v>
      </c>
      <c r="I66" s="31">
        <v>58.5</v>
      </c>
      <c r="J66" s="16" t="s">
        <v>40</v>
      </c>
    </row>
    <row r="67" spans="1:10">
      <c r="A67" s="19">
        <v>63</v>
      </c>
      <c r="B67" s="16" t="s">
        <v>1675</v>
      </c>
      <c r="C67" s="16" t="s">
        <v>1682</v>
      </c>
      <c r="D67" s="24" t="s">
        <v>1683</v>
      </c>
      <c r="E67" s="25">
        <v>2080</v>
      </c>
      <c r="F67" s="26" t="s">
        <v>1555</v>
      </c>
      <c r="G67" s="16" t="s">
        <v>1556</v>
      </c>
      <c r="H67" s="31">
        <v>39.9</v>
      </c>
      <c r="I67" s="31">
        <v>50.7</v>
      </c>
      <c r="J67" s="16" t="s">
        <v>40</v>
      </c>
    </row>
    <row r="68" spans="1:10">
      <c r="A68" s="19">
        <v>64</v>
      </c>
      <c r="B68" s="16" t="s">
        <v>1675</v>
      </c>
      <c r="C68" s="16" t="s">
        <v>445</v>
      </c>
      <c r="D68" s="24" t="s">
        <v>1684</v>
      </c>
      <c r="E68" s="25">
        <v>6434</v>
      </c>
      <c r="F68" s="26" t="s">
        <v>1655</v>
      </c>
      <c r="G68" s="16" t="s">
        <v>1656</v>
      </c>
      <c r="H68" s="31">
        <v>41</v>
      </c>
      <c r="I68" s="31">
        <v>51.6</v>
      </c>
      <c r="J68" s="16" t="s">
        <v>40</v>
      </c>
    </row>
    <row r="69" spans="1:10">
      <c r="A69" s="20">
        <v>65</v>
      </c>
      <c r="B69" s="17" t="s">
        <v>1675</v>
      </c>
      <c r="C69" s="17" t="s">
        <v>1556</v>
      </c>
      <c r="D69" s="27" t="s">
        <v>1685</v>
      </c>
      <c r="E69" s="28">
        <v>10919</v>
      </c>
      <c r="F69" s="29" t="s">
        <v>1555</v>
      </c>
      <c r="G69" s="17" t="s">
        <v>1556</v>
      </c>
      <c r="H69" s="32">
        <v>26.4</v>
      </c>
      <c r="I69" s="32">
        <v>34.1</v>
      </c>
      <c r="J69" s="17" t="s">
        <v>40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"/>
  <sheetViews>
    <sheetView showGridLines="0" workbookViewId="0"/>
  </sheetViews>
  <sheetFormatPr baseColWidth="10" defaultColWidth="8.83203125" defaultRowHeight="14"/>
  <cols>
    <col min="1" max="1" width="7" customWidth="1"/>
    <col min="2" max="2" width="23" customWidth="1"/>
    <col min="3" max="3" width="25" customWidth="1"/>
    <col min="4" max="4" width="13" customWidth="1"/>
    <col min="5" max="5" width="16" customWidth="1"/>
    <col min="6" max="6" width="15" customWidth="1"/>
    <col min="7" max="7" width="22" customWidth="1"/>
    <col min="8" max="9" width="21" customWidth="1"/>
    <col min="10" max="10" width="22" customWidth="1"/>
  </cols>
  <sheetData>
    <row r="1" spans="1:10" ht="30" customHeight="1">
      <c r="A1" s="39" t="s">
        <v>1686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2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2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5</v>
      </c>
      <c r="F4" s="14" t="s">
        <v>30</v>
      </c>
      <c r="G4" s="14" t="s">
        <v>31</v>
      </c>
      <c r="H4" s="14" t="s">
        <v>32</v>
      </c>
      <c r="I4" s="14" t="s">
        <v>33</v>
      </c>
      <c r="J4" s="14" t="s">
        <v>34</v>
      </c>
    </row>
    <row r="5" spans="1:10">
      <c r="A5" s="18">
        <v>1</v>
      </c>
      <c r="B5" s="15" t="s">
        <v>1687</v>
      </c>
      <c r="C5" s="15" t="s">
        <v>1688</v>
      </c>
      <c r="D5" s="21" t="s">
        <v>1689</v>
      </c>
      <c r="E5" s="22">
        <v>2856</v>
      </c>
      <c r="F5" s="23" t="s">
        <v>1690</v>
      </c>
      <c r="G5" s="15" t="s">
        <v>1691</v>
      </c>
      <c r="H5" s="30">
        <v>22</v>
      </c>
      <c r="I5" s="30">
        <v>26.9</v>
      </c>
      <c r="J5" s="15" t="s">
        <v>40</v>
      </c>
    </row>
    <row r="6" spans="1:10">
      <c r="A6" s="19">
        <v>2</v>
      </c>
      <c r="B6" s="16" t="s">
        <v>1687</v>
      </c>
      <c r="C6" s="16" t="s">
        <v>1692</v>
      </c>
      <c r="D6" s="24" t="s">
        <v>1693</v>
      </c>
      <c r="E6" s="25">
        <v>1311</v>
      </c>
      <c r="F6" s="26" t="s">
        <v>1694</v>
      </c>
      <c r="G6" s="16" t="s">
        <v>1695</v>
      </c>
      <c r="H6" s="31">
        <v>18.100000000000001</v>
      </c>
      <c r="I6" s="31">
        <v>19.7</v>
      </c>
      <c r="J6" s="16" t="s">
        <v>40</v>
      </c>
    </row>
    <row r="7" spans="1:10">
      <c r="A7" s="19">
        <v>3</v>
      </c>
      <c r="B7" s="16" t="s">
        <v>1687</v>
      </c>
      <c r="C7" s="16" t="s">
        <v>1696</v>
      </c>
      <c r="D7" s="24" t="s">
        <v>1697</v>
      </c>
      <c r="E7" s="25">
        <v>971</v>
      </c>
      <c r="F7" s="26" t="s">
        <v>1690</v>
      </c>
      <c r="G7" s="16" t="s">
        <v>1691</v>
      </c>
      <c r="H7" s="31">
        <v>33.799999999999997</v>
      </c>
      <c r="I7" s="31">
        <v>41.8</v>
      </c>
      <c r="J7" s="16" t="s">
        <v>40</v>
      </c>
    </row>
    <row r="8" spans="1:10">
      <c r="A8" s="19">
        <v>4</v>
      </c>
      <c r="B8" s="16" t="s">
        <v>1687</v>
      </c>
      <c r="C8" s="16" t="s">
        <v>1698</v>
      </c>
      <c r="D8" s="24" t="s">
        <v>1699</v>
      </c>
      <c r="E8" s="25">
        <v>628</v>
      </c>
      <c r="F8" s="26" t="s">
        <v>1700</v>
      </c>
      <c r="G8" s="16" t="s">
        <v>1701</v>
      </c>
      <c r="H8" s="31">
        <v>39.4</v>
      </c>
      <c r="I8" s="31">
        <v>45.1</v>
      </c>
      <c r="J8" s="16" t="s">
        <v>40</v>
      </c>
    </row>
    <row r="9" spans="1:10">
      <c r="A9" s="19">
        <v>5</v>
      </c>
      <c r="B9" s="16" t="s">
        <v>1687</v>
      </c>
      <c r="C9" s="16" t="s">
        <v>1702</v>
      </c>
      <c r="D9" s="24" t="s">
        <v>1703</v>
      </c>
      <c r="E9" s="25">
        <v>434</v>
      </c>
      <c r="F9" s="26" t="s">
        <v>1690</v>
      </c>
      <c r="G9" s="16" t="s">
        <v>1691</v>
      </c>
      <c r="H9" s="31">
        <v>31.3</v>
      </c>
      <c r="I9" s="31">
        <v>39.1</v>
      </c>
      <c r="J9" s="16" t="s">
        <v>40</v>
      </c>
    </row>
    <row r="10" spans="1:10">
      <c r="A10" s="19">
        <v>6</v>
      </c>
      <c r="B10" s="16" t="s">
        <v>1687</v>
      </c>
      <c r="C10" s="16" t="s">
        <v>1691</v>
      </c>
      <c r="D10" s="24" t="s">
        <v>1704</v>
      </c>
      <c r="E10" s="25">
        <v>6291</v>
      </c>
      <c r="F10" s="26" t="s">
        <v>1690</v>
      </c>
      <c r="G10" s="16" t="s">
        <v>1691</v>
      </c>
      <c r="H10" s="31">
        <v>27.8</v>
      </c>
      <c r="I10" s="31">
        <v>34.5</v>
      </c>
      <c r="J10" s="16" t="s">
        <v>40</v>
      </c>
    </row>
    <row r="11" spans="1:10">
      <c r="A11" s="19">
        <v>7</v>
      </c>
      <c r="B11" s="16" t="s">
        <v>1687</v>
      </c>
      <c r="C11" s="16" t="s">
        <v>1705</v>
      </c>
      <c r="D11" s="24" t="s">
        <v>1706</v>
      </c>
      <c r="E11" s="25">
        <v>2423</v>
      </c>
      <c r="F11" s="26" t="s">
        <v>1700</v>
      </c>
      <c r="G11" s="16" t="s">
        <v>1701</v>
      </c>
      <c r="H11" s="31">
        <v>34</v>
      </c>
      <c r="I11" s="31">
        <v>39.6</v>
      </c>
      <c r="J11" s="16" t="s">
        <v>40</v>
      </c>
    </row>
    <row r="12" spans="1:10">
      <c r="A12" s="19">
        <v>8</v>
      </c>
      <c r="B12" s="16" t="s">
        <v>1552</v>
      </c>
      <c r="C12" s="16" t="s">
        <v>1707</v>
      </c>
      <c r="D12" s="24" t="s">
        <v>1708</v>
      </c>
      <c r="E12" s="25">
        <v>1001</v>
      </c>
      <c r="F12" s="26" t="s">
        <v>1709</v>
      </c>
      <c r="G12" s="16" t="s">
        <v>1710</v>
      </c>
      <c r="H12" s="31">
        <v>30.1</v>
      </c>
      <c r="I12" s="31">
        <v>37.700000000000003</v>
      </c>
      <c r="J12" s="16" t="s">
        <v>40</v>
      </c>
    </row>
    <row r="13" spans="1:10">
      <c r="A13" s="19">
        <v>9</v>
      </c>
      <c r="B13" s="16" t="s">
        <v>1552</v>
      </c>
      <c r="C13" s="16" t="s">
        <v>1711</v>
      </c>
      <c r="D13" s="24" t="s">
        <v>1712</v>
      </c>
      <c r="E13" s="25">
        <v>1074</v>
      </c>
      <c r="F13" s="26" t="s">
        <v>1709</v>
      </c>
      <c r="G13" s="16" t="s">
        <v>1710</v>
      </c>
      <c r="H13" s="31">
        <v>35.200000000000003</v>
      </c>
      <c r="I13" s="31">
        <v>41.2</v>
      </c>
      <c r="J13" s="16" t="s">
        <v>40</v>
      </c>
    </row>
    <row r="14" spans="1:10">
      <c r="A14" s="19">
        <v>10</v>
      </c>
      <c r="B14" s="16" t="s">
        <v>1627</v>
      </c>
      <c r="C14" s="16" t="s">
        <v>1713</v>
      </c>
      <c r="D14" s="24" t="s">
        <v>1714</v>
      </c>
      <c r="E14" s="25">
        <v>999</v>
      </c>
      <c r="F14" s="26" t="s">
        <v>1583</v>
      </c>
      <c r="G14" s="16" t="s">
        <v>1584</v>
      </c>
      <c r="H14" s="31">
        <v>25.4</v>
      </c>
      <c r="I14" s="31">
        <v>29.3</v>
      </c>
      <c r="J14" s="16" t="s">
        <v>40</v>
      </c>
    </row>
    <row r="15" spans="1:10">
      <c r="A15" s="19">
        <v>11</v>
      </c>
      <c r="B15" s="16" t="s">
        <v>1627</v>
      </c>
      <c r="C15" s="16" t="s">
        <v>1715</v>
      </c>
      <c r="D15" s="24" t="s">
        <v>1716</v>
      </c>
      <c r="E15" s="25">
        <v>1257</v>
      </c>
      <c r="F15" s="26" t="s">
        <v>1583</v>
      </c>
      <c r="G15" s="16" t="s">
        <v>1584</v>
      </c>
      <c r="H15" s="31">
        <v>38.5</v>
      </c>
      <c r="I15" s="31">
        <v>40.4</v>
      </c>
      <c r="J15" s="16" t="s">
        <v>40</v>
      </c>
    </row>
    <row r="16" spans="1:10">
      <c r="A16" s="19">
        <v>12</v>
      </c>
      <c r="B16" s="16" t="s">
        <v>1627</v>
      </c>
      <c r="C16" s="16" t="s">
        <v>1717</v>
      </c>
      <c r="D16" s="24" t="s">
        <v>1718</v>
      </c>
      <c r="E16" s="25">
        <v>1797</v>
      </c>
      <c r="F16" s="26" t="s">
        <v>1583</v>
      </c>
      <c r="G16" s="16" t="s">
        <v>1584</v>
      </c>
      <c r="H16" s="31">
        <v>23.9</v>
      </c>
      <c r="I16" s="31">
        <v>26.9</v>
      </c>
      <c r="J16" s="16" t="s">
        <v>40</v>
      </c>
    </row>
    <row r="17" spans="1:10">
      <c r="A17" s="19">
        <v>13</v>
      </c>
      <c r="B17" s="16" t="s">
        <v>1627</v>
      </c>
      <c r="C17" s="16" t="s">
        <v>1719</v>
      </c>
      <c r="D17" s="24" t="s">
        <v>1720</v>
      </c>
      <c r="E17" s="25">
        <v>1971</v>
      </c>
      <c r="F17" s="26" t="s">
        <v>1583</v>
      </c>
      <c r="G17" s="16" t="s">
        <v>1584</v>
      </c>
      <c r="H17" s="31">
        <v>41.9</v>
      </c>
      <c r="I17" s="31">
        <v>46.4</v>
      </c>
      <c r="J17" s="16" t="s">
        <v>40</v>
      </c>
    </row>
    <row r="18" spans="1:10">
      <c r="A18" s="19">
        <v>14</v>
      </c>
      <c r="B18" s="16" t="s">
        <v>1627</v>
      </c>
      <c r="C18" s="16" t="s">
        <v>1721</v>
      </c>
      <c r="D18" s="24" t="s">
        <v>1722</v>
      </c>
      <c r="E18" s="25">
        <v>772</v>
      </c>
      <c r="F18" s="26" t="s">
        <v>1709</v>
      </c>
      <c r="G18" s="16" t="s">
        <v>1710</v>
      </c>
      <c r="H18" s="31">
        <v>31</v>
      </c>
      <c r="I18" s="31">
        <v>37.1</v>
      </c>
      <c r="J18" s="16" t="s">
        <v>40</v>
      </c>
    </row>
    <row r="19" spans="1:10">
      <c r="A19" s="19">
        <v>15</v>
      </c>
      <c r="B19" s="16" t="s">
        <v>1627</v>
      </c>
      <c r="C19" s="16" t="s">
        <v>1723</v>
      </c>
      <c r="D19" s="24" t="s">
        <v>1724</v>
      </c>
      <c r="E19" s="25">
        <v>1283</v>
      </c>
      <c r="F19" s="26" t="s">
        <v>1709</v>
      </c>
      <c r="G19" s="16" t="s">
        <v>1710</v>
      </c>
      <c r="H19" s="31">
        <v>31.8</v>
      </c>
      <c r="I19" s="31">
        <v>36.299999999999997</v>
      </c>
      <c r="J19" s="16" t="s">
        <v>40</v>
      </c>
    </row>
    <row r="20" spans="1:10">
      <c r="A20" s="19">
        <v>16</v>
      </c>
      <c r="B20" s="16" t="s">
        <v>1627</v>
      </c>
      <c r="C20" s="16" t="s">
        <v>1725</v>
      </c>
      <c r="D20" s="24" t="s">
        <v>1726</v>
      </c>
      <c r="E20" s="25">
        <v>1713</v>
      </c>
      <c r="F20" s="26" t="s">
        <v>1583</v>
      </c>
      <c r="G20" s="16" t="s">
        <v>1584</v>
      </c>
      <c r="H20" s="31">
        <v>29.1</v>
      </c>
      <c r="I20" s="31">
        <v>33.200000000000003</v>
      </c>
      <c r="J20" s="16" t="s">
        <v>40</v>
      </c>
    </row>
    <row r="21" spans="1:10">
      <c r="A21" s="19">
        <v>17</v>
      </c>
      <c r="B21" s="16" t="s">
        <v>1627</v>
      </c>
      <c r="C21" s="16" t="s">
        <v>1727</v>
      </c>
      <c r="D21" s="24" t="s">
        <v>1728</v>
      </c>
      <c r="E21" s="25">
        <v>754</v>
      </c>
      <c r="F21" s="26" t="s">
        <v>1583</v>
      </c>
      <c r="G21" s="16" t="s">
        <v>1584</v>
      </c>
      <c r="H21" s="31">
        <v>49.3</v>
      </c>
      <c r="I21" s="31">
        <v>53.3</v>
      </c>
      <c r="J21" s="16" t="s">
        <v>40</v>
      </c>
    </row>
    <row r="22" spans="1:10">
      <c r="A22" s="19">
        <v>18</v>
      </c>
      <c r="B22" s="16" t="s">
        <v>1627</v>
      </c>
      <c r="C22" s="16" t="s">
        <v>1729</v>
      </c>
      <c r="D22" s="24" t="s">
        <v>1730</v>
      </c>
      <c r="E22" s="25">
        <v>1271</v>
      </c>
      <c r="F22" s="26" t="s">
        <v>1694</v>
      </c>
      <c r="G22" s="16" t="s">
        <v>1695</v>
      </c>
      <c r="H22" s="31">
        <v>20.9</v>
      </c>
      <c r="I22" s="31">
        <v>21.6</v>
      </c>
      <c r="J22" s="16" t="s">
        <v>40</v>
      </c>
    </row>
    <row r="23" spans="1:10">
      <c r="A23" s="19">
        <v>19</v>
      </c>
      <c r="B23" s="16" t="s">
        <v>1627</v>
      </c>
      <c r="C23" s="16" t="s">
        <v>1731</v>
      </c>
      <c r="D23" s="24" t="s">
        <v>1732</v>
      </c>
      <c r="E23" s="25">
        <v>517</v>
      </c>
      <c r="F23" s="26" t="s">
        <v>1583</v>
      </c>
      <c r="G23" s="16" t="s">
        <v>1584</v>
      </c>
      <c r="H23" s="31">
        <v>28.8</v>
      </c>
      <c r="I23" s="31">
        <v>32.700000000000003</v>
      </c>
      <c r="J23" s="16" t="s">
        <v>40</v>
      </c>
    </row>
    <row r="24" spans="1:10">
      <c r="A24" s="19">
        <v>20</v>
      </c>
      <c r="B24" s="16" t="s">
        <v>1627</v>
      </c>
      <c r="C24" s="16" t="s">
        <v>1733</v>
      </c>
      <c r="D24" s="24" t="s">
        <v>1734</v>
      </c>
      <c r="E24" s="25">
        <v>1301</v>
      </c>
      <c r="F24" s="26" t="s">
        <v>1583</v>
      </c>
      <c r="G24" s="16" t="s">
        <v>1584</v>
      </c>
      <c r="H24" s="31">
        <v>37.200000000000003</v>
      </c>
      <c r="I24" s="31">
        <v>41.8</v>
      </c>
      <c r="J24" s="16" t="s">
        <v>40</v>
      </c>
    </row>
    <row r="25" spans="1:10">
      <c r="A25" s="19">
        <v>21</v>
      </c>
      <c r="B25" s="16" t="s">
        <v>1627</v>
      </c>
      <c r="C25" s="16" t="s">
        <v>1735</v>
      </c>
      <c r="D25" s="24" t="s">
        <v>1736</v>
      </c>
      <c r="E25" s="25">
        <v>1006</v>
      </c>
      <c r="F25" s="26" t="s">
        <v>1583</v>
      </c>
      <c r="G25" s="16" t="s">
        <v>1584</v>
      </c>
      <c r="H25" s="31">
        <v>34.4</v>
      </c>
      <c r="I25" s="31">
        <v>39.6</v>
      </c>
      <c r="J25" s="16" t="s">
        <v>40</v>
      </c>
    </row>
    <row r="26" spans="1:10">
      <c r="A26" s="19">
        <v>22</v>
      </c>
      <c r="B26" s="16" t="s">
        <v>1627</v>
      </c>
      <c r="C26" s="16" t="s">
        <v>1737</v>
      </c>
      <c r="D26" s="24" t="s">
        <v>1738</v>
      </c>
      <c r="E26" s="25">
        <v>395</v>
      </c>
      <c r="F26" s="26" t="s">
        <v>1694</v>
      </c>
      <c r="G26" s="16" t="s">
        <v>1695</v>
      </c>
      <c r="H26" s="31">
        <v>25.4</v>
      </c>
      <c r="I26" s="31">
        <v>29.6</v>
      </c>
      <c r="J26" s="16" t="s">
        <v>40</v>
      </c>
    </row>
    <row r="27" spans="1:10">
      <c r="A27" s="19">
        <v>23</v>
      </c>
      <c r="B27" s="16" t="s">
        <v>1627</v>
      </c>
      <c r="C27" s="16" t="s">
        <v>1739</v>
      </c>
      <c r="D27" s="24" t="s">
        <v>1740</v>
      </c>
      <c r="E27" s="25">
        <v>951</v>
      </c>
      <c r="F27" s="26" t="s">
        <v>1694</v>
      </c>
      <c r="G27" s="16" t="s">
        <v>1695</v>
      </c>
      <c r="H27" s="31">
        <v>20.3</v>
      </c>
      <c r="I27" s="31">
        <v>23.6</v>
      </c>
      <c r="J27" s="16" t="s">
        <v>40</v>
      </c>
    </row>
    <row r="28" spans="1:10">
      <c r="A28" s="19">
        <v>24</v>
      </c>
      <c r="B28" s="16" t="s">
        <v>166</v>
      </c>
      <c r="C28" s="16" t="s">
        <v>1741</v>
      </c>
      <c r="D28" s="24" t="s">
        <v>1742</v>
      </c>
      <c r="E28" s="25">
        <v>655</v>
      </c>
      <c r="F28" s="26" t="s">
        <v>45</v>
      </c>
      <c r="G28" s="16" t="s">
        <v>46</v>
      </c>
      <c r="H28" s="31">
        <v>51.4</v>
      </c>
      <c r="I28" s="31">
        <v>58.2</v>
      </c>
      <c r="J28" s="16" t="s">
        <v>40</v>
      </c>
    </row>
    <row r="29" spans="1:10">
      <c r="A29" s="19">
        <v>25</v>
      </c>
      <c r="B29" s="16" t="s">
        <v>166</v>
      </c>
      <c r="C29" s="16" t="s">
        <v>1743</v>
      </c>
      <c r="D29" s="24" t="s">
        <v>1744</v>
      </c>
      <c r="E29" s="25">
        <v>972</v>
      </c>
      <c r="F29" s="26" t="s">
        <v>169</v>
      </c>
      <c r="G29" s="16" t="s">
        <v>170</v>
      </c>
      <c r="H29" s="31">
        <v>79.599999999999994</v>
      </c>
      <c r="I29" s="31">
        <v>96.3</v>
      </c>
      <c r="J29" s="16" t="s">
        <v>40</v>
      </c>
    </row>
    <row r="30" spans="1:10">
      <c r="A30" s="19">
        <v>26</v>
      </c>
      <c r="B30" s="16" t="s">
        <v>166</v>
      </c>
      <c r="C30" s="16" t="s">
        <v>1745</v>
      </c>
      <c r="D30" s="24" t="s">
        <v>1746</v>
      </c>
      <c r="E30" s="25">
        <v>3065</v>
      </c>
      <c r="F30" s="26" t="s">
        <v>169</v>
      </c>
      <c r="G30" s="16" t="s">
        <v>170</v>
      </c>
      <c r="H30" s="31">
        <v>66.599999999999994</v>
      </c>
      <c r="I30" s="31">
        <v>82</v>
      </c>
      <c r="J30" s="16" t="s">
        <v>40</v>
      </c>
    </row>
    <row r="31" spans="1:10">
      <c r="A31" s="19">
        <v>27</v>
      </c>
      <c r="B31" s="16" t="s">
        <v>166</v>
      </c>
      <c r="C31" s="16" t="s">
        <v>1747</v>
      </c>
      <c r="D31" s="24" t="s">
        <v>1748</v>
      </c>
      <c r="E31" s="25">
        <v>2145</v>
      </c>
      <c r="F31" s="26" t="s">
        <v>169</v>
      </c>
      <c r="G31" s="16" t="s">
        <v>170</v>
      </c>
      <c r="H31" s="31">
        <v>69.8</v>
      </c>
      <c r="I31" s="31">
        <v>83.3</v>
      </c>
      <c r="J31" s="16" t="s">
        <v>40</v>
      </c>
    </row>
    <row r="32" spans="1:10">
      <c r="A32" s="19">
        <v>28</v>
      </c>
      <c r="B32" s="16" t="s">
        <v>166</v>
      </c>
      <c r="C32" s="16" t="s">
        <v>1749</v>
      </c>
      <c r="D32" s="24" t="s">
        <v>1750</v>
      </c>
      <c r="E32" s="25">
        <v>3124</v>
      </c>
      <c r="F32" s="26" t="s">
        <v>169</v>
      </c>
      <c r="G32" s="16" t="s">
        <v>170</v>
      </c>
      <c r="H32" s="31">
        <v>57.3</v>
      </c>
      <c r="I32" s="31">
        <v>70.099999999999994</v>
      </c>
      <c r="J32" s="16" t="s">
        <v>40</v>
      </c>
    </row>
    <row r="33" spans="1:10">
      <c r="A33" s="19">
        <v>29</v>
      </c>
      <c r="B33" s="16" t="s">
        <v>166</v>
      </c>
      <c r="C33" s="16" t="s">
        <v>1751</v>
      </c>
      <c r="D33" s="24" t="s">
        <v>1752</v>
      </c>
      <c r="E33" s="25">
        <v>2537</v>
      </c>
      <c r="F33" s="26" t="s">
        <v>169</v>
      </c>
      <c r="G33" s="16" t="s">
        <v>170</v>
      </c>
      <c r="H33" s="31">
        <v>51</v>
      </c>
      <c r="I33" s="31">
        <v>60.6</v>
      </c>
      <c r="J33" s="16" t="s">
        <v>40</v>
      </c>
    </row>
    <row r="34" spans="1:10">
      <c r="A34" s="19">
        <v>30</v>
      </c>
      <c r="B34" s="16" t="s">
        <v>166</v>
      </c>
      <c r="C34" s="16" t="s">
        <v>1753</v>
      </c>
      <c r="D34" s="24" t="s">
        <v>1754</v>
      </c>
      <c r="E34" s="25">
        <v>2582</v>
      </c>
      <c r="F34" s="26" t="s">
        <v>169</v>
      </c>
      <c r="G34" s="16" t="s">
        <v>170</v>
      </c>
      <c r="H34" s="31">
        <v>69.2</v>
      </c>
      <c r="I34" s="31">
        <v>83.8</v>
      </c>
      <c r="J34" s="16" t="s">
        <v>40</v>
      </c>
    </row>
    <row r="35" spans="1:10">
      <c r="A35" s="19">
        <v>31</v>
      </c>
      <c r="B35" s="16" t="s">
        <v>212</v>
      </c>
      <c r="C35" s="16" t="s">
        <v>1755</v>
      </c>
      <c r="D35" s="24" t="s">
        <v>1756</v>
      </c>
      <c r="E35" s="25">
        <v>1319</v>
      </c>
      <c r="F35" s="26" t="s">
        <v>1700</v>
      </c>
      <c r="G35" s="16" t="s">
        <v>1701</v>
      </c>
      <c r="H35" s="31">
        <v>47.1</v>
      </c>
      <c r="I35" s="31">
        <v>52.5</v>
      </c>
      <c r="J35" s="16" t="s">
        <v>40</v>
      </c>
    </row>
    <row r="36" spans="1:10">
      <c r="A36" s="19">
        <v>32</v>
      </c>
      <c r="B36" s="16" t="s">
        <v>212</v>
      </c>
      <c r="C36" s="16" t="s">
        <v>1757</v>
      </c>
      <c r="D36" s="24" t="s">
        <v>1758</v>
      </c>
      <c r="E36" s="25">
        <v>877</v>
      </c>
      <c r="F36" s="26" t="s">
        <v>1700</v>
      </c>
      <c r="G36" s="16" t="s">
        <v>1701</v>
      </c>
      <c r="H36" s="31">
        <v>19.399999999999999</v>
      </c>
      <c r="I36" s="31">
        <v>20.8</v>
      </c>
      <c r="J36" s="16" t="s">
        <v>40</v>
      </c>
    </row>
    <row r="37" spans="1:10">
      <c r="A37" s="19">
        <v>33</v>
      </c>
      <c r="B37" s="16" t="s">
        <v>212</v>
      </c>
      <c r="C37" s="16" t="s">
        <v>1759</v>
      </c>
      <c r="D37" s="24" t="s">
        <v>1760</v>
      </c>
      <c r="E37" s="25">
        <v>842</v>
      </c>
      <c r="F37" s="26" t="s">
        <v>1700</v>
      </c>
      <c r="G37" s="16" t="s">
        <v>1701</v>
      </c>
      <c r="H37" s="31">
        <v>15.9</v>
      </c>
      <c r="I37" s="31">
        <v>17.899999999999999</v>
      </c>
      <c r="J37" s="16" t="s">
        <v>40</v>
      </c>
    </row>
    <row r="38" spans="1:10">
      <c r="A38" s="19">
        <v>34</v>
      </c>
      <c r="B38" s="16" t="s">
        <v>212</v>
      </c>
      <c r="C38" s="16" t="s">
        <v>1761</v>
      </c>
      <c r="D38" s="24" t="s">
        <v>1762</v>
      </c>
      <c r="E38" s="25">
        <v>905</v>
      </c>
      <c r="F38" s="26" t="s">
        <v>1700</v>
      </c>
      <c r="G38" s="16" t="s">
        <v>1701</v>
      </c>
      <c r="H38" s="31">
        <v>31.9</v>
      </c>
      <c r="I38" s="31">
        <v>35.9</v>
      </c>
      <c r="J38" s="16" t="s">
        <v>40</v>
      </c>
    </row>
    <row r="39" spans="1:10">
      <c r="A39" s="19">
        <v>35</v>
      </c>
      <c r="B39" s="16" t="s">
        <v>212</v>
      </c>
      <c r="C39" s="16" t="s">
        <v>1763</v>
      </c>
      <c r="D39" s="24" t="s">
        <v>1764</v>
      </c>
      <c r="E39" s="25">
        <v>1092</v>
      </c>
      <c r="F39" s="26" t="s">
        <v>45</v>
      </c>
      <c r="G39" s="16" t="s">
        <v>46</v>
      </c>
      <c r="H39" s="31">
        <v>38.6</v>
      </c>
      <c r="I39" s="31">
        <v>42.3</v>
      </c>
      <c r="J39" s="16" t="s">
        <v>40</v>
      </c>
    </row>
    <row r="40" spans="1:10">
      <c r="A40" s="19">
        <v>36</v>
      </c>
      <c r="B40" s="16" t="s">
        <v>212</v>
      </c>
      <c r="C40" s="16" t="s">
        <v>1765</v>
      </c>
      <c r="D40" s="24" t="s">
        <v>1766</v>
      </c>
      <c r="E40" s="25">
        <v>1200</v>
      </c>
      <c r="F40" s="26" t="s">
        <v>1700</v>
      </c>
      <c r="G40" s="16" t="s">
        <v>1701</v>
      </c>
      <c r="H40" s="31">
        <v>42.6</v>
      </c>
      <c r="I40" s="31">
        <v>47.4</v>
      </c>
      <c r="J40" s="16" t="s">
        <v>40</v>
      </c>
    </row>
    <row r="41" spans="1:10">
      <c r="A41" s="19">
        <v>37</v>
      </c>
      <c r="B41" s="16" t="s">
        <v>212</v>
      </c>
      <c r="C41" s="16" t="s">
        <v>1767</v>
      </c>
      <c r="D41" s="24" t="s">
        <v>1768</v>
      </c>
      <c r="E41" s="25">
        <v>849</v>
      </c>
      <c r="F41" s="26" t="s">
        <v>1700</v>
      </c>
      <c r="G41" s="16" t="s">
        <v>1701</v>
      </c>
      <c r="H41" s="31">
        <v>41.9</v>
      </c>
      <c r="I41" s="31">
        <v>47.7</v>
      </c>
      <c r="J41" s="16" t="s">
        <v>40</v>
      </c>
    </row>
    <row r="42" spans="1:10">
      <c r="A42" s="19">
        <v>38</v>
      </c>
      <c r="B42" s="16" t="s">
        <v>212</v>
      </c>
      <c r="C42" s="16" t="s">
        <v>1769</v>
      </c>
      <c r="D42" s="24" t="s">
        <v>1770</v>
      </c>
      <c r="E42" s="25">
        <v>907</v>
      </c>
      <c r="F42" s="26" t="s">
        <v>1700</v>
      </c>
      <c r="G42" s="16" t="s">
        <v>1701</v>
      </c>
      <c r="H42" s="31">
        <v>50.5</v>
      </c>
      <c r="I42" s="31">
        <v>56</v>
      </c>
      <c r="J42" s="16" t="s">
        <v>40</v>
      </c>
    </row>
    <row r="43" spans="1:10">
      <c r="A43" s="19">
        <v>39</v>
      </c>
      <c r="B43" s="16" t="s">
        <v>212</v>
      </c>
      <c r="C43" s="16" t="s">
        <v>1771</v>
      </c>
      <c r="D43" s="24" t="s">
        <v>1772</v>
      </c>
      <c r="E43" s="25">
        <v>1799</v>
      </c>
      <c r="F43" s="26" t="s">
        <v>1700</v>
      </c>
      <c r="G43" s="16" t="s">
        <v>1701</v>
      </c>
      <c r="H43" s="31">
        <v>30.7</v>
      </c>
      <c r="I43" s="31">
        <v>35.799999999999997</v>
      </c>
      <c r="J43" s="16" t="s">
        <v>40</v>
      </c>
    </row>
    <row r="44" spans="1:10">
      <c r="A44" s="19">
        <v>40</v>
      </c>
      <c r="B44" s="16" t="s">
        <v>212</v>
      </c>
      <c r="C44" s="16" t="s">
        <v>1701</v>
      </c>
      <c r="D44" s="24" t="s">
        <v>1773</v>
      </c>
      <c r="E44" s="25">
        <v>8765</v>
      </c>
      <c r="F44" s="26" t="s">
        <v>1700</v>
      </c>
      <c r="G44" s="16" t="s">
        <v>1701</v>
      </c>
      <c r="H44" s="31">
        <v>21.4</v>
      </c>
      <c r="I44" s="31">
        <v>25.3</v>
      </c>
      <c r="J44" s="16" t="s">
        <v>40</v>
      </c>
    </row>
    <row r="45" spans="1:10">
      <c r="A45" s="19">
        <v>41</v>
      </c>
      <c r="B45" s="16" t="s">
        <v>212</v>
      </c>
      <c r="C45" s="16" t="s">
        <v>1774</v>
      </c>
      <c r="D45" s="24" t="s">
        <v>1775</v>
      </c>
      <c r="E45" s="25">
        <v>1233</v>
      </c>
      <c r="F45" s="26" t="s">
        <v>45</v>
      </c>
      <c r="G45" s="16" t="s">
        <v>46</v>
      </c>
      <c r="H45" s="31">
        <v>38</v>
      </c>
      <c r="I45" s="31">
        <v>46.1</v>
      </c>
      <c r="J45" s="16" t="s">
        <v>40</v>
      </c>
    </row>
    <row r="46" spans="1:10">
      <c r="A46" s="19">
        <v>42</v>
      </c>
      <c r="B46" s="16" t="s">
        <v>212</v>
      </c>
      <c r="C46" s="16" t="s">
        <v>1776</v>
      </c>
      <c r="D46" s="24" t="s">
        <v>1777</v>
      </c>
      <c r="E46" s="25">
        <v>1022</v>
      </c>
      <c r="F46" s="26" t="s">
        <v>45</v>
      </c>
      <c r="G46" s="16" t="s">
        <v>46</v>
      </c>
      <c r="H46" s="31">
        <v>43.7</v>
      </c>
      <c r="I46" s="31">
        <v>48.1</v>
      </c>
      <c r="J46" s="16" t="s">
        <v>40</v>
      </c>
    </row>
    <row r="47" spans="1:10">
      <c r="A47" s="19">
        <v>43</v>
      </c>
      <c r="B47" s="16" t="s">
        <v>212</v>
      </c>
      <c r="C47" s="16" t="s">
        <v>1778</v>
      </c>
      <c r="D47" s="24" t="s">
        <v>1779</v>
      </c>
      <c r="E47" s="25">
        <v>1981</v>
      </c>
      <c r="F47" s="26" t="s">
        <v>1700</v>
      </c>
      <c r="G47" s="16" t="s">
        <v>1701</v>
      </c>
      <c r="H47" s="31">
        <v>42.1</v>
      </c>
      <c r="I47" s="31">
        <v>46.2</v>
      </c>
      <c r="J47" s="16" t="s">
        <v>40</v>
      </c>
    </row>
    <row r="48" spans="1:10">
      <c r="A48" s="19">
        <v>44</v>
      </c>
      <c r="B48" s="16" t="s">
        <v>212</v>
      </c>
      <c r="C48" s="16" t="s">
        <v>1780</v>
      </c>
      <c r="D48" s="24" t="s">
        <v>1781</v>
      </c>
      <c r="E48" s="25">
        <v>378</v>
      </c>
      <c r="F48" s="26" t="s">
        <v>45</v>
      </c>
      <c r="G48" s="16" t="s">
        <v>46</v>
      </c>
      <c r="H48" s="31">
        <v>43.3</v>
      </c>
      <c r="I48" s="31">
        <v>50.7</v>
      </c>
      <c r="J48" s="16" t="s">
        <v>40</v>
      </c>
    </row>
    <row r="49" spans="1:10">
      <c r="A49" s="19">
        <v>45</v>
      </c>
      <c r="B49" s="16" t="s">
        <v>212</v>
      </c>
      <c r="C49" s="16" t="s">
        <v>1782</v>
      </c>
      <c r="D49" s="24" t="s">
        <v>1783</v>
      </c>
      <c r="E49" s="25">
        <v>395</v>
      </c>
      <c r="F49" s="26" t="s">
        <v>1700</v>
      </c>
      <c r="G49" s="16" t="s">
        <v>1701</v>
      </c>
      <c r="H49" s="31">
        <v>20.5</v>
      </c>
      <c r="I49" s="31">
        <v>21</v>
      </c>
      <c r="J49" s="16" t="s">
        <v>40</v>
      </c>
    </row>
    <row r="50" spans="1:10">
      <c r="A50" s="19">
        <v>46</v>
      </c>
      <c r="B50" s="16" t="s">
        <v>212</v>
      </c>
      <c r="C50" s="16" t="s">
        <v>1784</v>
      </c>
      <c r="D50" s="24" t="s">
        <v>1785</v>
      </c>
      <c r="E50" s="25">
        <v>627</v>
      </c>
      <c r="F50" s="26" t="s">
        <v>1700</v>
      </c>
      <c r="G50" s="16" t="s">
        <v>1701</v>
      </c>
      <c r="H50" s="31">
        <v>41</v>
      </c>
      <c r="I50" s="31">
        <v>48</v>
      </c>
      <c r="J50" s="16" t="s">
        <v>40</v>
      </c>
    </row>
    <row r="51" spans="1:10">
      <c r="A51" s="19">
        <v>47</v>
      </c>
      <c r="B51" s="16" t="s">
        <v>212</v>
      </c>
      <c r="C51" s="16" t="s">
        <v>1786</v>
      </c>
      <c r="D51" s="24" t="s">
        <v>1787</v>
      </c>
      <c r="E51" s="25">
        <v>494</v>
      </c>
      <c r="F51" s="26" t="s">
        <v>1700</v>
      </c>
      <c r="G51" s="16" t="s">
        <v>1701</v>
      </c>
      <c r="H51" s="31">
        <v>36.5</v>
      </c>
      <c r="I51" s="31">
        <v>41.4</v>
      </c>
      <c r="J51" s="16" t="s">
        <v>40</v>
      </c>
    </row>
    <row r="52" spans="1:10">
      <c r="A52" s="19">
        <v>48</v>
      </c>
      <c r="B52" s="16" t="s">
        <v>270</v>
      </c>
      <c r="C52" s="16" t="s">
        <v>1788</v>
      </c>
      <c r="D52" s="24" t="s">
        <v>1789</v>
      </c>
      <c r="E52" s="25">
        <v>1475</v>
      </c>
      <c r="F52" s="26" t="s">
        <v>921</v>
      </c>
      <c r="G52" s="16" t="s">
        <v>922</v>
      </c>
      <c r="H52" s="31">
        <v>70.2</v>
      </c>
      <c r="I52" s="31">
        <v>74.3</v>
      </c>
      <c r="J52" s="16" t="s">
        <v>40</v>
      </c>
    </row>
    <row r="53" spans="1:10">
      <c r="A53" s="19">
        <v>49</v>
      </c>
      <c r="B53" s="16" t="s">
        <v>270</v>
      </c>
      <c r="C53" s="16" t="s">
        <v>1790</v>
      </c>
      <c r="D53" s="24" t="s">
        <v>1791</v>
      </c>
      <c r="E53" s="25">
        <v>2948</v>
      </c>
      <c r="F53" s="26" t="s">
        <v>921</v>
      </c>
      <c r="G53" s="16" t="s">
        <v>922</v>
      </c>
      <c r="H53" s="31">
        <v>58.4</v>
      </c>
      <c r="I53" s="31">
        <v>65.099999999999994</v>
      </c>
      <c r="J53" s="16" t="s">
        <v>40</v>
      </c>
    </row>
    <row r="54" spans="1:10">
      <c r="A54" s="19">
        <v>50</v>
      </c>
      <c r="B54" s="16" t="s">
        <v>270</v>
      </c>
      <c r="C54" s="16" t="s">
        <v>1792</v>
      </c>
      <c r="D54" s="24" t="s">
        <v>1793</v>
      </c>
      <c r="E54" s="25">
        <v>932</v>
      </c>
      <c r="F54" s="26" t="s">
        <v>921</v>
      </c>
      <c r="G54" s="16" t="s">
        <v>922</v>
      </c>
      <c r="H54" s="31">
        <v>66.900000000000006</v>
      </c>
      <c r="I54" s="31">
        <v>70.7</v>
      </c>
      <c r="J54" s="16" t="s">
        <v>40</v>
      </c>
    </row>
    <row r="55" spans="1:10">
      <c r="A55" s="19">
        <v>51</v>
      </c>
      <c r="B55" s="16" t="s">
        <v>270</v>
      </c>
      <c r="C55" s="16" t="s">
        <v>1794</v>
      </c>
      <c r="D55" s="24" t="s">
        <v>1795</v>
      </c>
      <c r="E55" s="25">
        <v>1418</v>
      </c>
      <c r="F55" s="26" t="s">
        <v>921</v>
      </c>
      <c r="G55" s="16" t="s">
        <v>922</v>
      </c>
      <c r="H55" s="31">
        <v>63.9</v>
      </c>
      <c r="I55" s="31">
        <v>69.099999999999994</v>
      </c>
      <c r="J55" s="16" t="s">
        <v>40</v>
      </c>
    </row>
    <row r="56" spans="1:10">
      <c r="A56" s="19">
        <v>52</v>
      </c>
      <c r="B56" s="16" t="s">
        <v>376</v>
      </c>
      <c r="C56" s="16" t="s">
        <v>1796</v>
      </c>
      <c r="D56" s="24" t="s">
        <v>1797</v>
      </c>
      <c r="E56" s="25">
        <v>2684</v>
      </c>
      <c r="F56" s="26" t="s">
        <v>1694</v>
      </c>
      <c r="G56" s="16" t="s">
        <v>1695</v>
      </c>
      <c r="H56" s="31">
        <v>20.3</v>
      </c>
      <c r="I56" s="31">
        <v>20.6</v>
      </c>
      <c r="J56" s="16" t="s">
        <v>40</v>
      </c>
    </row>
    <row r="57" spans="1:10">
      <c r="A57" s="19">
        <v>53</v>
      </c>
      <c r="B57" s="16" t="s">
        <v>376</v>
      </c>
      <c r="C57" s="16" t="s">
        <v>1798</v>
      </c>
      <c r="D57" s="24" t="s">
        <v>1799</v>
      </c>
      <c r="E57" s="25">
        <v>740</v>
      </c>
      <c r="F57" s="26" t="s">
        <v>921</v>
      </c>
      <c r="G57" s="16" t="s">
        <v>922</v>
      </c>
      <c r="H57" s="31">
        <v>58.7</v>
      </c>
      <c r="I57" s="31">
        <v>65.099999999999994</v>
      </c>
      <c r="J57" s="16" t="s">
        <v>40</v>
      </c>
    </row>
    <row r="58" spans="1:10">
      <c r="A58" s="19">
        <v>54</v>
      </c>
      <c r="B58" s="16" t="s">
        <v>376</v>
      </c>
      <c r="C58" s="16" t="s">
        <v>1800</v>
      </c>
      <c r="D58" s="24" t="s">
        <v>1801</v>
      </c>
      <c r="E58" s="25">
        <v>533</v>
      </c>
      <c r="F58" s="26" t="s">
        <v>921</v>
      </c>
      <c r="G58" s="16" t="s">
        <v>922</v>
      </c>
      <c r="H58" s="31">
        <v>52.8</v>
      </c>
      <c r="I58" s="31">
        <v>39.6</v>
      </c>
      <c r="J58" s="16" t="s">
        <v>293</v>
      </c>
    </row>
    <row r="59" spans="1:10">
      <c r="A59" s="19">
        <v>55</v>
      </c>
      <c r="B59" s="16" t="s">
        <v>376</v>
      </c>
      <c r="C59" s="16" t="s">
        <v>1802</v>
      </c>
      <c r="D59" s="24" t="s">
        <v>1803</v>
      </c>
      <c r="E59" s="25">
        <v>587</v>
      </c>
      <c r="F59" s="26" t="s">
        <v>1700</v>
      </c>
      <c r="G59" s="16" t="s">
        <v>1701</v>
      </c>
      <c r="H59" s="31">
        <v>25</v>
      </c>
      <c r="I59" s="31">
        <v>29.3</v>
      </c>
      <c r="J59" s="16" t="s">
        <v>40</v>
      </c>
    </row>
    <row r="60" spans="1:10">
      <c r="A60" s="19">
        <v>56</v>
      </c>
      <c r="B60" s="16" t="s">
        <v>376</v>
      </c>
      <c r="C60" s="16" t="s">
        <v>1804</v>
      </c>
      <c r="D60" s="24" t="s">
        <v>1805</v>
      </c>
      <c r="E60" s="25">
        <v>496</v>
      </c>
      <c r="F60" s="26" t="s">
        <v>921</v>
      </c>
      <c r="G60" s="16" t="s">
        <v>922</v>
      </c>
      <c r="H60" s="31">
        <v>49.7</v>
      </c>
      <c r="I60" s="31">
        <v>55.5</v>
      </c>
      <c r="J60" s="16" t="s">
        <v>40</v>
      </c>
    </row>
    <row r="61" spans="1:10">
      <c r="A61" s="19">
        <v>57</v>
      </c>
      <c r="B61" s="16" t="s">
        <v>376</v>
      </c>
      <c r="C61" s="16" t="s">
        <v>1806</v>
      </c>
      <c r="D61" s="24" t="s">
        <v>1807</v>
      </c>
      <c r="E61" s="25">
        <v>992</v>
      </c>
      <c r="F61" s="26" t="s">
        <v>921</v>
      </c>
      <c r="G61" s="16" t="s">
        <v>922</v>
      </c>
      <c r="H61" s="31">
        <v>41</v>
      </c>
      <c r="I61" s="31">
        <v>44.9</v>
      </c>
      <c r="J61" s="16" t="s">
        <v>40</v>
      </c>
    </row>
    <row r="62" spans="1:10">
      <c r="A62" s="19">
        <v>58</v>
      </c>
      <c r="B62" s="16" t="s">
        <v>376</v>
      </c>
      <c r="C62" s="16" t="s">
        <v>1808</v>
      </c>
      <c r="D62" s="24" t="s">
        <v>1809</v>
      </c>
      <c r="E62" s="25">
        <v>614</v>
      </c>
      <c r="F62" s="26" t="s">
        <v>921</v>
      </c>
      <c r="G62" s="16" t="s">
        <v>922</v>
      </c>
      <c r="H62" s="31">
        <v>48.5</v>
      </c>
      <c r="I62" s="31">
        <v>56.2</v>
      </c>
      <c r="J62" s="16" t="s">
        <v>40</v>
      </c>
    </row>
    <row r="63" spans="1:10">
      <c r="A63" s="19">
        <v>59</v>
      </c>
      <c r="B63" s="16" t="s">
        <v>376</v>
      </c>
      <c r="C63" s="16" t="s">
        <v>1810</v>
      </c>
      <c r="D63" s="24" t="s">
        <v>1811</v>
      </c>
      <c r="E63" s="25">
        <v>849</v>
      </c>
      <c r="F63" s="26" t="s">
        <v>921</v>
      </c>
      <c r="G63" s="16" t="s">
        <v>922</v>
      </c>
      <c r="H63" s="31">
        <v>35.6</v>
      </c>
      <c r="I63" s="31">
        <v>38.799999999999997</v>
      </c>
      <c r="J63" s="16" t="s">
        <v>40</v>
      </c>
    </row>
    <row r="64" spans="1:10">
      <c r="A64" s="19">
        <v>60</v>
      </c>
      <c r="B64" s="16" t="s">
        <v>376</v>
      </c>
      <c r="C64" s="16" t="s">
        <v>1812</v>
      </c>
      <c r="D64" s="24" t="s">
        <v>1813</v>
      </c>
      <c r="E64" s="25">
        <v>555</v>
      </c>
      <c r="F64" s="26" t="s">
        <v>921</v>
      </c>
      <c r="G64" s="16" t="s">
        <v>922</v>
      </c>
      <c r="H64" s="31">
        <v>49.7</v>
      </c>
      <c r="I64" s="31">
        <v>57</v>
      </c>
      <c r="J64" s="16" t="s">
        <v>40</v>
      </c>
    </row>
    <row r="65" spans="1:10">
      <c r="A65" s="19">
        <v>61</v>
      </c>
      <c r="B65" s="16" t="s">
        <v>376</v>
      </c>
      <c r="C65" s="16" t="s">
        <v>1814</v>
      </c>
      <c r="D65" s="24" t="s">
        <v>1815</v>
      </c>
      <c r="E65" s="25">
        <v>572</v>
      </c>
      <c r="F65" s="26" t="s">
        <v>921</v>
      </c>
      <c r="G65" s="16" t="s">
        <v>922</v>
      </c>
      <c r="H65" s="31">
        <v>49.6</v>
      </c>
      <c r="I65" s="31">
        <v>55.3</v>
      </c>
      <c r="J65" s="16" t="s">
        <v>40</v>
      </c>
    </row>
    <row r="66" spans="1:10">
      <c r="A66" s="19">
        <v>62</v>
      </c>
      <c r="B66" s="16" t="s">
        <v>376</v>
      </c>
      <c r="C66" s="16" t="s">
        <v>1816</v>
      </c>
      <c r="D66" s="24" t="s">
        <v>1817</v>
      </c>
      <c r="E66" s="25">
        <v>1343</v>
      </c>
      <c r="F66" s="26" t="s">
        <v>1583</v>
      </c>
      <c r="G66" s="16" t="s">
        <v>1584</v>
      </c>
      <c r="H66" s="31">
        <v>30.8</v>
      </c>
      <c r="I66" s="31">
        <v>35.5</v>
      </c>
      <c r="J66" s="16" t="s">
        <v>40</v>
      </c>
    </row>
    <row r="67" spans="1:10">
      <c r="A67" s="19">
        <v>63</v>
      </c>
      <c r="B67" s="16" t="s">
        <v>376</v>
      </c>
      <c r="C67" s="16" t="s">
        <v>1818</v>
      </c>
      <c r="D67" s="24" t="s">
        <v>1819</v>
      </c>
      <c r="E67" s="25">
        <v>400</v>
      </c>
      <c r="F67" s="26" t="s">
        <v>215</v>
      </c>
      <c r="G67" s="16" t="s">
        <v>216</v>
      </c>
      <c r="H67" s="31">
        <v>53.2</v>
      </c>
      <c r="I67" s="31">
        <v>60.6</v>
      </c>
      <c r="J67" s="16" t="s">
        <v>40</v>
      </c>
    </row>
    <row r="68" spans="1:10">
      <c r="A68" s="19">
        <v>64</v>
      </c>
      <c r="B68" s="16" t="s">
        <v>376</v>
      </c>
      <c r="C68" s="16" t="s">
        <v>1820</v>
      </c>
      <c r="D68" s="24" t="s">
        <v>1821</v>
      </c>
      <c r="E68" s="25">
        <v>657</v>
      </c>
      <c r="F68" s="26" t="s">
        <v>921</v>
      </c>
      <c r="G68" s="16" t="s">
        <v>922</v>
      </c>
      <c r="H68" s="31">
        <v>45.3</v>
      </c>
      <c r="I68" s="31">
        <v>50.6</v>
      </c>
      <c r="J68" s="16" t="s">
        <v>40</v>
      </c>
    </row>
    <row r="69" spans="1:10">
      <c r="A69" s="19">
        <v>65</v>
      </c>
      <c r="B69" s="16" t="s">
        <v>376</v>
      </c>
      <c r="C69" s="16" t="s">
        <v>1822</v>
      </c>
      <c r="D69" s="24" t="s">
        <v>1823</v>
      </c>
      <c r="E69" s="25">
        <v>850</v>
      </c>
      <c r="F69" s="26" t="s">
        <v>921</v>
      </c>
      <c r="G69" s="16" t="s">
        <v>922</v>
      </c>
      <c r="H69" s="31">
        <v>51.8</v>
      </c>
      <c r="I69" s="31">
        <v>58.5</v>
      </c>
      <c r="J69" s="16" t="s">
        <v>40</v>
      </c>
    </row>
    <row r="70" spans="1:10">
      <c r="A70" s="19">
        <v>66</v>
      </c>
      <c r="B70" s="16" t="s">
        <v>376</v>
      </c>
      <c r="C70" s="16" t="s">
        <v>1824</v>
      </c>
      <c r="D70" s="24" t="s">
        <v>1825</v>
      </c>
      <c r="E70" s="25">
        <v>869</v>
      </c>
      <c r="F70" s="26" t="s">
        <v>921</v>
      </c>
      <c r="G70" s="16" t="s">
        <v>922</v>
      </c>
      <c r="H70" s="31">
        <v>41</v>
      </c>
      <c r="I70" s="31">
        <v>44.5</v>
      </c>
      <c r="J70" s="16" t="s">
        <v>40</v>
      </c>
    </row>
    <row r="71" spans="1:10">
      <c r="A71" s="19">
        <v>67</v>
      </c>
      <c r="B71" s="16" t="s">
        <v>376</v>
      </c>
      <c r="C71" s="16" t="s">
        <v>1826</v>
      </c>
      <c r="D71" s="24" t="s">
        <v>1827</v>
      </c>
      <c r="E71" s="25">
        <v>1964</v>
      </c>
      <c r="F71" s="26" t="s">
        <v>921</v>
      </c>
      <c r="G71" s="16" t="s">
        <v>922</v>
      </c>
      <c r="H71" s="31">
        <v>47.8</v>
      </c>
      <c r="I71" s="31">
        <v>54.1</v>
      </c>
      <c r="J71" s="16" t="s">
        <v>40</v>
      </c>
    </row>
    <row r="72" spans="1:10">
      <c r="A72" s="19">
        <v>68</v>
      </c>
      <c r="B72" s="16" t="s">
        <v>376</v>
      </c>
      <c r="C72" s="16" t="s">
        <v>1828</v>
      </c>
      <c r="D72" s="24" t="s">
        <v>1829</v>
      </c>
      <c r="E72" s="25">
        <v>2536</v>
      </c>
      <c r="F72" s="26" t="s">
        <v>921</v>
      </c>
      <c r="G72" s="16" t="s">
        <v>922</v>
      </c>
      <c r="H72" s="31">
        <v>28.9</v>
      </c>
      <c r="I72" s="31">
        <v>31.1</v>
      </c>
      <c r="J72" s="16" t="s">
        <v>40</v>
      </c>
    </row>
    <row r="73" spans="1:10">
      <c r="A73" s="19">
        <v>69</v>
      </c>
      <c r="B73" s="16" t="s">
        <v>376</v>
      </c>
      <c r="C73" s="16" t="s">
        <v>922</v>
      </c>
      <c r="D73" s="24" t="s">
        <v>1830</v>
      </c>
      <c r="E73" s="25">
        <v>6394</v>
      </c>
      <c r="F73" s="26" t="s">
        <v>921</v>
      </c>
      <c r="G73" s="16" t="s">
        <v>922</v>
      </c>
      <c r="H73" s="31">
        <v>49.4</v>
      </c>
      <c r="I73" s="31">
        <v>56.7</v>
      </c>
      <c r="J73" s="16" t="s">
        <v>40</v>
      </c>
    </row>
    <row r="74" spans="1:10">
      <c r="A74" s="19">
        <v>70</v>
      </c>
      <c r="B74" s="16" t="s">
        <v>376</v>
      </c>
      <c r="C74" s="16" t="s">
        <v>1831</v>
      </c>
      <c r="D74" s="24" t="s">
        <v>1832</v>
      </c>
      <c r="E74" s="25">
        <v>552</v>
      </c>
      <c r="F74" s="26" t="s">
        <v>921</v>
      </c>
      <c r="G74" s="16" t="s">
        <v>922</v>
      </c>
      <c r="H74" s="31">
        <v>57.1</v>
      </c>
      <c r="I74" s="31">
        <v>63.9</v>
      </c>
      <c r="J74" s="16" t="s">
        <v>40</v>
      </c>
    </row>
    <row r="75" spans="1:10">
      <c r="A75" s="19">
        <v>71</v>
      </c>
      <c r="B75" s="16" t="s">
        <v>376</v>
      </c>
      <c r="C75" s="16" t="s">
        <v>1833</v>
      </c>
      <c r="D75" s="24" t="s">
        <v>1834</v>
      </c>
      <c r="E75" s="25">
        <v>304</v>
      </c>
      <c r="F75" s="26" t="s">
        <v>921</v>
      </c>
      <c r="G75" s="16" t="s">
        <v>922</v>
      </c>
      <c r="H75" s="31">
        <v>45.4</v>
      </c>
      <c r="I75" s="31">
        <v>50.2</v>
      </c>
      <c r="J75" s="16" t="s">
        <v>40</v>
      </c>
    </row>
    <row r="76" spans="1:10">
      <c r="A76" s="19">
        <v>72</v>
      </c>
      <c r="B76" s="16" t="s">
        <v>376</v>
      </c>
      <c r="C76" s="16" t="s">
        <v>1835</v>
      </c>
      <c r="D76" s="24" t="s">
        <v>1836</v>
      </c>
      <c r="E76" s="25">
        <v>1838</v>
      </c>
      <c r="F76" s="26" t="s">
        <v>921</v>
      </c>
      <c r="G76" s="16" t="s">
        <v>922</v>
      </c>
      <c r="H76" s="31">
        <v>45.9</v>
      </c>
      <c r="I76" s="31">
        <v>51.3</v>
      </c>
      <c r="J76" s="16" t="s">
        <v>40</v>
      </c>
    </row>
    <row r="77" spans="1:10">
      <c r="A77" s="19">
        <v>73</v>
      </c>
      <c r="B77" s="16" t="s">
        <v>1652</v>
      </c>
      <c r="C77" s="16" t="s">
        <v>1837</v>
      </c>
      <c r="D77" s="24" t="s">
        <v>1838</v>
      </c>
      <c r="E77" s="25">
        <v>633</v>
      </c>
      <c r="F77" s="26" t="s">
        <v>1709</v>
      </c>
      <c r="G77" s="16" t="s">
        <v>1710</v>
      </c>
      <c r="H77" s="31">
        <v>32.1</v>
      </c>
      <c r="I77" s="31">
        <v>41.5</v>
      </c>
      <c r="J77" s="16" t="s">
        <v>40</v>
      </c>
    </row>
    <row r="78" spans="1:10">
      <c r="A78" s="19">
        <v>74</v>
      </c>
      <c r="B78" s="16" t="s">
        <v>1652</v>
      </c>
      <c r="C78" s="16" t="s">
        <v>1839</v>
      </c>
      <c r="D78" s="24" t="s">
        <v>1840</v>
      </c>
      <c r="E78" s="25">
        <v>1833</v>
      </c>
      <c r="F78" s="26" t="s">
        <v>1841</v>
      </c>
      <c r="G78" s="16" t="s">
        <v>1842</v>
      </c>
      <c r="H78" s="31">
        <v>38.9</v>
      </c>
      <c r="I78" s="31">
        <v>46.2</v>
      </c>
      <c r="J78" s="16" t="s">
        <v>40</v>
      </c>
    </row>
    <row r="79" spans="1:10">
      <c r="A79" s="19">
        <v>75</v>
      </c>
      <c r="B79" s="16" t="s">
        <v>1652</v>
      </c>
      <c r="C79" s="16" t="s">
        <v>1843</v>
      </c>
      <c r="D79" s="24" t="s">
        <v>1844</v>
      </c>
      <c r="E79" s="25">
        <v>3503</v>
      </c>
      <c r="F79" s="26" t="s">
        <v>1690</v>
      </c>
      <c r="G79" s="16" t="s">
        <v>1691</v>
      </c>
      <c r="H79" s="31">
        <v>33.9</v>
      </c>
      <c r="I79" s="31">
        <v>38.799999999999997</v>
      </c>
      <c r="J79" s="16" t="s">
        <v>40</v>
      </c>
    </row>
    <row r="80" spans="1:10">
      <c r="A80" s="19">
        <v>76</v>
      </c>
      <c r="B80" s="16" t="s">
        <v>1652</v>
      </c>
      <c r="C80" s="16" t="s">
        <v>1786</v>
      </c>
      <c r="D80" s="24" t="s">
        <v>1845</v>
      </c>
      <c r="E80" s="25">
        <v>2637</v>
      </c>
      <c r="F80" s="26" t="s">
        <v>1841</v>
      </c>
      <c r="G80" s="16" t="s">
        <v>1842</v>
      </c>
      <c r="H80" s="31">
        <v>45.9</v>
      </c>
      <c r="I80" s="31">
        <v>50.6</v>
      </c>
      <c r="J80" s="16" t="s">
        <v>40</v>
      </c>
    </row>
    <row r="81" spans="1:10">
      <c r="A81" s="19">
        <v>77</v>
      </c>
      <c r="B81" s="16" t="s">
        <v>1675</v>
      </c>
      <c r="C81" s="16" t="s">
        <v>1846</v>
      </c>
      <c r="D81" s="24" t="s">
        <v>1847</v>
      </c>
      <c r="E81" s="25">
        <v>2437</v>
      </c>
      <c r="F81" s="26" t="s">
        <v>1690</v>
      </c>
      <c r="G81" s="16" t="s">
        <v>1691</v>
      </c>
      <c r="H81" s="31">
        <v>19.5</v>
      </c>
      <c r="I81" s="31">
        <v>23.2</v>
      </c>
      <c r="J81" s="16" t="s">
        <v>40</v>
      </c>
    </row>
    <row r="82" spans="1:10">
      <c r="A82" s="19">
        <v>78</v>
      </c>
      <c r="B82" s="16" t="s">
        <v>1675</v>
      </c>
      <c r="C82" s="16" t="s">
        <v>1848</v>
      </c>
      <c r="D82" s="24" t="s">
        <v>1849</v>
      </c>
      <c r="E82" s="25">
        <v>3942</v>
      </c>
      <c r="F82" s="26" t="s">
        <v>1709</v>
      </c>
      <c r="G82" s="16" t="s">
        <v>1710</v>
      </c>
      <c r="H82" s="31">
        <v>27.9</v>
      </c>
      <c r="I82" s="31">
        <v>33</v>
      </c>
      <c r="J82" s="16" t="s">
        <v>40</v>
      </c>
    </row>
    <row r="83" spans="1:10">
      <c r="A83" s="19">
        <v>79</v>
      </c>
      <c r="B83" s="16" t="s">
        <v>1675</v>
      </c>
      <c r="C83" s="16" t="s">
        <v>1850</v>
      </c>
      <c r="D83" s="24" t="s">
        <v>1851</v>
      </c>
      <c r="E83" s="25">
        <v>2458</v>
      </c>
      <c r="F83" s="26" t="s">
        <v>1709</v>
      </c>
      <c r="G83" s="16" t="s">
        <v>1710</v>
      </c>
      <c r="H83" s="31">
        <v>20.2</v>
      </c>
      <c r="I83" s="31">
        <v>22.5</v>
      </c>
      <c r="J83" s="16" t="s">
        <v>40</v>
      </c>
    </row>
    <row r="84" spans="1:10">
      <c r="A84" s="19">
        <v>80</v>
      </c>
      <c r="B84" s="16" t="s">
        <v>1675</v>
      </c>
      <c r="C84" s="16" t="s">
        <v>1852</v>
      </c>
      <c r="D84" s="24" t="s">
        <v>1853</v>
      </c>
      <c r="E84" s="25">
        <v>1940</v>
      </c>
      <c r="F84" s="26" t="s">
        <v>1841</v>
      </c>
      <c r="G84" s="16" t="s">
        <v>1842</v>
      </c>
      <c r="H84" s="31">
        <v>40.200000000000003</v>
      </c>
      <c r="I84" s="31">
        <v>47.2</v>
      </c>
      <c r="J84" s="16" t="s">
        <v>40</v>
      </c>
    </row>
    <row r="85" spans="1:10">
      <c r="A85" s="19">
        <v>81</v>
      </c>
      <c r="B85" s="16" t="s">
        <v>1675</v>
      </c>
      <c r="C85" s="16" t="s">
        <v>1854</v>
      </c>
      <c r="D85" s="24" t="s">
        <v>1855</v>
      </c>
      <c r="E85" s="25">
        <v>1145</v>
      </c>
      <c r="F85" s="26" t="s">
        <v>1694</v>
      </c>
      <c r="G85" s="16" t="s">
        <v>1695</v>
      </c>
      <c r="H85" s="31">
        <v>7.6</v>
      </c>
      <c r="I85" s="31">
        <v>7.4</v>
      </c>
      <c r="J85" s="16" t="s">
        <v>40</v>
      </c>
    </row>
    <row r="86" spans="1:10">
      <c r="A86" s="19">
        <v>82</v>
      </c>
      <c r="B86" s="16" t="s">
        <v>1675</v>
      </c>
      <c r="C86" s="16" t="s">
        <v>1856</v>
      </c>
      <c r="D86" s="24" t="s">
        <v>1857</v>
      </c>
      <c r="E86" s="25">
        <v>422</v>
      </c>
      <c r="F86" s="26" t="s">
        <v>1709</v>
      </c>
      <c r="G86" s="16" t="s">
        <v>1710</v>
      </c>
      <c r="H86" s="31">
        <v>32</v>
      </c>
      <c r="I86" s="31">
        <v>40.4</v>
      </c>
      <c r="J86" s="16" t="s">
        <v>40</v>
      </c>
    </row>
    <row r="87" spans="1:10">
      <c r="A87" s="19">
        <v>83</v>
      </c>
      <c r="B87" s="16" t="s">
        <v>1675</v>
      </c>
      <c r="C87" s="16" t="s">
        <v>1858</v>
      </c>
      <c r="D87" s="24" t="s">
        <v>1859</v>
      </c>
      <c r="E87" s="25">
        <v>1251</v>
      </c>
      <c r="F87" s="26" t="s">
        <v>1690</v>
      </c>
      <c r="G87" s="16" t="s">
        <v>1691</v>
      </c>
      <c r="H87" s="31">
        <v>26</v>
      </c>
      <c r="I87" s="31">
        <v>31.2</v>
      </c>
      <c r="J87" s="16" t="s">
        <v>40</v>
      </c>
    </row>
    <row r="88" spans="1:10">
      <c r="A88" s="19">
        <v>84</v>
      </c>
      <c r="B88" s="16" t="s">
        <v>1675</v>
      </c>
      <c r="C88" s="16" t="s">
        <v>1860</v>
      </c>
      <c r="D88" s="24" t="s">
        <v>1861</v>
      </c>
      <c r="E88" s="25">
        <v>4774</v>
      </c>
      <c r="F88" s="26" t="s">
        <v>1694</v>
      </c>
      <c r="G88" s="16" t="s">
        <v>1695</v>
      </c>
      <c r="H88" s="31">
        <v>11.6</v>
      </c>
      <c r="I88" s="31">
        <v>11.7</v>
      </c>
      <c r="J88" s="16" t="s">
        <v>40</v>
      </c>
    </row>
    <row r="89" spans="1:10">
      <c r="A89" s="19">
        <v>85</v>
      </c>
      <c r="B89" s="16" t="s">
        <v>1675</v>
      </c>
      <c r="C89" s="16" t="s">
        <v>1862</v>
      </c>
      <c r="D89" s="24" t="s">
        <v>1863</v>
      </c>
      <c r="E89" s="25">
        <v>2202</v>
      </c>
      <c r="F89" s="26" t="s">
        <v>1690</v>
      </c>
      <c r="G89" s="16" t="s">
        <v>1691</v>
      </c>
      <c r="H89" s="31">
        <v>18.100000000000001</v>
      </c>
      <c r="I89" s="31">
        <v>21</v>
      </c>
      <c r="J89" s="16" t="s">
        <v>40</v>
      </c>
    </row>
    <row r="90" spans="1:10">
      <c r="A90" s="19">
        <v>86</v>
      </c>
      <c r="B90" s="16" t="s">
        <v>1675</v>
      </c>
      <c r="C90" s="16" t="s">
        <v>1864</v>
      </c>
      <c r="D90" s="24" t="s">
        <v>1865</v>
      </c>
      <c r="E90" s="25">
        <v>1396</v>
      </c>
      <c r="F90" s="26" t="s">
        <v>1694</v>
      </c>
      <c r="G90" s="16" t="s">
        <v>1695</v>
      </c>
      <c r="H90" s="31">
        <v>11.6</v>
      </c>
      <c r="I90" s="31">
        <v>12.3</v>
      </c>
      <c r="J90" s="16" t="s">
        <v>40</v>
      </c>
    </row>
    <row r="91" spans="1:10">
      <c r="A91" s="19">
        <v>87</v>
      </c>
      <c r="B91" s="16" t="s">
        <v>1675</v>
      </c>
      <c r="C91" s="16" t="s">
        <v>1866</v>
      </c>
      <c r="D91" s="24" t="s">
        <v>1867</v>
      </c>
      <c r="E91" s="25">
        <v>1278</v>
      </c>
      <c r="F91" s="26" t="s">
        <v>1709</v>
      </c>
      <c r="G91" s="16" t="s">
        <v>1710</v>
      </c>
      <c r="H91" s="31">
        <v>32.6</v>
      </c>
      <c r="I91" s="31">
        <v>41.8</v>
      </c>
      <c r="J91" s="16" t="s">
        <v>40</v>
      </c>
    </row>
    <row r="92" spans="1:10">
      <c r="A92" s="19">
        <v>88</v>
      </c>
      <c r="B92" s="16" t="s">
        <v>1675</v>
      </c>
      <c r="C92" s="16" t="s">
        <v>1710</v>
      </c>
      <c r="D92" s="24" t="s">
        <v>1868</v>
      </c>
      <c r="E92" s="25">
        <v>8269</v>
      </c>
      <c r="F92" s="26" t="s">
        <v>1709</v>
      </c>
      <c r="G92" s="16" t="s">
        <v>1710</v>
      </c>
      <c r="H92" s="31">
        <v>23.4</v>
      </c>
      <c r="I92" s="31">
        <v>29.2</v>
      </c>
      <c r="J92" s="16" t="s">
        <v>40</v>
      </c>
    </row>
    <row r="93" spans="1:10">
      <c r="A93" s="19">
        <v>89</v>
      </c>
      <c r="B93" s="16" t="s">
        <v>1675</v>
      </c>
      <c r="C93" s="16" t="s">
        <v>1869</v>
      </c>
      <c r="D93" s="24" t="s">
        <v>1870</v>
      </c>
      <c r="E93" s="25">
        <v>669</v>
      </c>
      <c r="F93" s="26" t="s">
        <v>1709</v>
      </c>
      <c r="G93" s="16" t="s">
        <v>1710</v>
      </c>
      <c r="H93" s="31">
        <v>32</v>
      </c>
      <c r="I93" s="31">
        <v>38.1</v>
      </c>
      <c r="J93" s="16" t="s">
        <v>40</v>
      </c>
    </row>
    <row r="94" spans="1:10">
      <c r="A94" s="19">
        <v>90</v>
      </c>
      <c r="B94" s="16" t="s">
        <v>1675</v>
      </c>
      <c r="C94" s="16" t="s">
        <v>1871</v>
      </c>
      <c r="D94" s="24" t="s">
        <v>1872</v>
      </c>
      <c r="E94" s="25">
        <v>3582</v>
      </c>
      <c r="F94" s="26" t="s">
        <v>1694</v>
      </c>
      <c r="G94" s="16" t="s">
        <v>1695</v>
      </c>
      <c r="H94" s="31">
        <v>12.1</v>
      </c>
      <c r="I94" s="31">
        <v>11.4</v>
      </c>
      <c r="J94" s="16" t="s">
        <v>40</v>
      </c>
    </row>
    <row r="95" spans="1:10">
      <c r="A95" s="19">
        <v>91</v>
      </c>
      <c r="B95" s="16" t="s">
        <v>1675</v>
      </c>
      <c r="C95" s="16" t="s">
        <v>1873</v>
      </c>
      <c r="D95" s="24" t="s">
        <v>1874</v>
      </c>
      <c r="E95" s="25">
        <v>600</v>
      </c>
      <c r="F95" s="26" t="s">
        <v>1694</v>
      </c>
      <c r="G95" s="16" t="s">
        <v>1695</v>
      </c>
      <c r="H95" s="31">
        <v>14.2</v>
      </c>
      <c r="I95" s="31">
        <v>16.2</v>
      </c>
      <c r="J95" s="16" t="s">
        <v>40</v>
      </c>
    </row>
    <row r="96" spans="1:10">
      <c r="A96" s="19">
        <v>92</v>
      </c>
      <c r="B96" s="16" t="s">
        <v>1675</v>
      </c>
      <c r="C96" s="16" t="s">
        <v>1875</v>
      </c>
      <c r="D96" s="24" t="s">
        <v>1876</v>
      </c>
      <c r="E96" s="25">
        <v>2538</v>
      </c>
      <c r="F96" s="26" t="s">
        <v>1841</v>
      </c>
      <c r="G96" s="16" t="s">
        <v>1842</v>
      </c>
      <c r="H96" s="31">
        <v>33.1</v>
      </c>
      <c r="I96" s="31">
        <v>37.700000000000003</v>
      </c>
      <c r="J96" s="16" t="s">
        <v>40</v>
      </c>
    </row>
    <row r="97" spans="1:10">
      <c r="A97" s="19">
        <v>93</v>
      </c>
      <c r="B97" s="16" t="s">
        <v>1675</v>
      </c>
      <c r="C97" s="16" t="s">
        <v>1877</v>
      </c>
      <c r="D97" s="24" t="s">
        <v>1878</v>
      </c>
      <c r="E97" s="25">
        <v>1111</v>
      </c>
      <c r="F97" s="26" t="s">
        <v>1841</v>
      </c>
      <c r="G97" s="16" t="s">
        <v>1842</v>
      </c>
      <c r="H97" s="31">
        <v>31.7</v>
      </c>
      <c r="I97" s="31">
        <v>35.299999999999997</v>
      </c>
      <c r="J97" s="16" t="s">
        <v>40</v>
      </c>
    </row>
    <row r="98" spans="1:10">
      <c r="A98" s="19">
        <v>94</v>
      </c>
      <c r="B98" s="16" t="s">
        <v>1675</v>
      </c>
      <c r="C98" s="16" t="s">
        <v>1842</v>
      </c>
      <c r="D98" s="24" t="s">
        <v>1879</v>
      </c>
      <c r="E98" s="25">
        <v>14285</v>
      </c>
      <c r="F98" s="26" t="s">
        <v>1841</v>
      </c>
      <c r="G98" s="16" t="s">
        <v>1842</v>
      </c>
      <c r="H98" s="31">
        <v>36.4</v>
      </c>
      <c r="I98" s="31">
        <v>41.2</v>
      </c>
      <c r="J98" s="16" t="s">
        <v>40</v>
      </c>
    </row>
    <row r="99" spans="1:10">
      <c r="A99" s="19">
        <v>95</v>
      </c>
      <c r="B99" s="16" t="s">
        <v>1675</v>
      </c>
      <c r="C99" s="16" t="s">
        <v>1695</v>
      </c>
      <c r="D99" s="24" t="s">
        <v>1880</v>
      </c>
      <c r="E99" s="25">
        <v>19120</v>
      </c>
      <c r="F99" s="26" t="s">
        <v>1694</v>
      </c>
      <c r="G99" s="16" t="s">
        <v>1695</v>
      </c>
      <c r="H99" s="31">
        <v>0</v>
      </c>
      <c r="I99" s="31">
        <v>0</v>
      </c>
      <c r="J99" s="16" t="s">
        <v>40</v>
      </c>
    </row>
    <row r="100" spans="1:10">
      <c r="A100" s="20">
        <v>96</v>
      </c>
      <c r="B100" s="17" t="s">
        <v>1675</v>
      </c>
      <c r="C100" s="17" t="s">
        <v>1835</v>
      </c>
      <c r="D100" s="27" t="s">
        <v>1881</v>
      </c>
      <c r="E100" s="28">
        <v>3026</v>
      </c>
      <c r="F100" s="29" t="s">
        <v>1841</v>
      </c>
      <c r="G100" s="17" t="s">
        <v>1842</v>
      </c>
      <c r="H100" s="32">
        <v>21.8</v>
      </c>
      <c r="I100" s="32">
        <v>23.9</v>
      </c>
      <c r="J100" s="17" t="s">
        <v>40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Chisinau-Centre</vt:lpstr>
      <vt:lpstr>Balti-North</vt:lpstr>
      <vt:lpstr>Ungheni-West</vt:lpstr>
      <vt:lpstr>Soroca-NE</vt:lpstr>
      <vt:lpstr>Orhei-Centre-N</vt:lpstr>
      <vt:lpstr>Cahul-SW</vt:lpstr>
      <vt:lpstr>Comrat-SE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 ionescu</cp:lastModifiedBy>
  <dcterms:created xsi:type="dcterms:W3CDTF">2026-08-08T16:46:15Z</dcterms:created>
  <dcterms:modified xsi:type="dcterms:W3CDTF">2026-08-08T16:46:15Z</dcterms:modified>
</cp:coreProperties>
</file>